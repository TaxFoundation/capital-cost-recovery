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apital-cost-recovery\final-outputs\"/>
    </mc:Choice>
  </mc:AlternateContent>
  <xr:revisionPtr revIDLastSave="0" documentId="8_{FD3BFF7C-B167-44FB-80B5-84D4D61987CE}" xr6:coauthVersionLast="47" xr6:coauthVersionMax="47" xr10:uidLastSave="{00000000-0000-0000-0000-000000000000}"/>
  <bookViews>
    <workbookView xWindow="-98" yWindow="-98" windowWidth="21795" windowHeight="13875" activeTab="7" xr2:uid="{992244D7-1034-4C37-9677-79413E7232DD}"/>
  </bookViews>
  <sheets>
    <sheet name="Canada summary" sheetId="1" r:id="rId1"/>
    <sheet name="2026" sheetId="2" r:id="rId2"/>
    <sheet name="2027" sheetId="3" r:id="rId3"/>
    <sheet name="2028" sheetId="4" r:id="rId4"/>
    <sheet name="2029" sheetId="5" r:id="rId5"/>
    <sheet name="2030" sheetId="6" r:id="rId6"/>
    <sheet name="Consolidated" sheetId="7" r:id="rId7"/>
    <sheet name="Note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2" i="7" l="1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9" i="1"/>
  <c r="A8" i="1"/>
  <c r="A7" i="1"/>
  <c r="A6" i="1"/>
  <c r="A5" i="1"/>
  <c r="I42" i="6"/>
  <c r="H42" i="6"/>
  <c r="E42" i="6"/>
  <c r="J42" i="6" s="1"/>
  <c r="D42" i="6"/>
  <c r="C42" i="6"/>
  <c r="E41" i="6"/>
  <c r="J41" i="6" s="1"/>
  <c r="D41" i="6"/>
  <c r="I41" i="6" s="1"/>
  <c r="C41" i="6"/>
  <c r="H41" i="6" s="1"/>
  <c r="E40" i="6"/>
  <c r="J40" i="6" s="1"/>
  <c r="D40" i="6"/>
  <c r="I40" i="6" s="1"/>
  <c r="C40" i="6"/>
  <c r="H40" i="6" s="1"/>
  <c r="E39" i="6"/>
  <c r="J39" i="6" s="1"/>
  <c r="D39" i="6"/>
  <c r="I39" i="6" s="1"/>
  <c r="C39" i="6"/>
  <c r="H39" i="6" s="1"/>
  <c r="E38" i="6"/>
  <c r="J38" i="6" s="1"/>
  <c r="D38" i="6"/>
  <c r="I38" i="6" s="1"/>
  <c r="C38" i="6"/>
  <c r="H38" i="6" s="1"/>
  <c r="I37" i="6"/>
  <c r="H37" i="6"/>
  <c r="E37" i="6"/>
  <c r="J37" i="6" s="1"/>
  <c r="D37" i="6"/>
  <c r="C37" i="6"/>
  <c r="E36" i="6"/>
  <c r="J36" i="6" s="1"/>
  <c r="D36" i="6"/>
  <c r="I36" i="6" s="1"/>
  <c r="C36" i="6"/>
  <c r="H36" i="6" s="1"/>
  <c r="E35" i="6"/>
  <c r="J35" i="6" s="1"/>
  <c r="D35" i="6"/>
  <c r="I35" i="6" s="1"/>
  <c r="C35" i="6"/>
  <c r="H35" i="6" s="1"/>
  <c r="K35" i="6" s="1"/>
  <c r="J34" i="6"/>
  <c r="E34" i="6"/>
  <c r="D34" i="6"/>
  <c r="I34" i="6" s="1"/>
  <c r="C34" i="6"/>
  <c r="H34" i="6" s="1"/>
  <c r="E33" i="6"/>
  <c r="J33" i="6" s="1"/>
  <c r="D33" i="6"/>
  <c r="C33" i="6"/>
  <c r="H33" i="6" s="1"/>
  <c r="E32" i="6"/>
  <c r="J32" i="6" s="1"/>
  <c r="D32" i="6"/>
  <c r="I32" i="6" s="1"/>
  <c r="C32" i="6"/>
  <c r="H32" i="6" s="1"/>
  <c r="J31" i="6"/>
  <c r="I31" i="6"/>
  <c r="E31" i="6"/>
  <c r="D31" i="6"/>
  <c r="C31" i="6"/>
  <c r="H31" i="6" s="1"/>
  <c r="E30" i="6"/>
  <c r="J30" i="6" s="1"/>
  <c r="D30" i="6"/>
  <c r="I30" i="6" s="1"/>
  <c r="C30" i="6"/>
  <c r="H30" i="6" s="1"/>
  <c r="I29" i="6"/>
  <c r="E29" i="6"/>
  <c r="J29" i="6" s="1"/>
  <c r="D29" i="6"/>
  <c r="C29" i="6"/>
  <c r="H29" i="6" s="1"/>
  <c r="E28" i="6"/>
  <c r="J28" i="6" s="1"/>
  <c r="D28" i="6"/>
  <c r="I28" i="6" s="1"/>
  <c r="C28" i="6"/>
  <c r="H28" i="6" s="1"/>
  <c r="E27" i="6"/>
  <c r="J27" i="6" s="1"/>
  <c r="D27" i="6"/>
  <c r="I27" i="6" s="1"/>
  <c r="C27" i="6"/>
  <c r="H27" i="6" s="1"/>
  <c r="E26" i="6"/>
  <c r="J26" i="6" s="1"/>
  <c r="D26" i="6"/>
  <c r="I26" i="6" s="1"/>
  <c r="C26" i="6"/>
  <c r="H26" i="6" s="1"/>
  <c r="E25" i="6"/>
  <c r="J25" i="6" s="1"/>
  <c r="D25" i="6"/>
  <c r="I25" i="6" s="1"/>
  <c r="C25" i="6"/>
  <c r="H25" i="6" s="1"/>
  <c r="H24" i="6"/>
  <c r="E24" i="6"/>
  <c r="J24" i="6" s="1"/>
  <c r="D24" i="6"/>
  <c r="I24" i="6" s="1"/>
  <c r="C24" i="6"/>
  <c r="E23" i="6"/>
  <c r="J23" i="6" s="1"/>
  <c r="D23" i="6"/>
  <c r="C23" i="6"/>
  <c r="H23" i="6" s="1"/>
  <c r="E22" i="6"/>
  <c r="J22" i="6" s="1"/>
  <c r="D22" i="6"/>
  <c r="I22" i="6" s="1"/>
  <c r="C22" i="6"/>
  <c r="H22" i="6" s="1"/>
  <c r="E21" i="6"/>
  <c r="J21" i="6" s="1"/>
  <c r="D21" i="6"/>
  <c r="I21" i="6" s="1"/>
  <c r="C21" i="6"/>
  <c r="H21" i="6" s="1"/>
  <c r="E20" i="6"/>
  <c r="J20" i="6" s="1"/>
  <c r="D20" i="6"/>
  <c r="C20" i="6"/>
  <c r="H20" i="6" s="1"/>
  <c r="E19" i="6"/>
  <c r="J19" i="6" s="1"/>
  <c r="D19" i="6"/>
  <c r="I19" i="6" s="1"/>
  <c r="C19" i="6"/>
  <c r="H19" i="6" s="1"/>
  <c r="H18" i="6"/>
  <c r="E18" i="6"/>
  <c r="J18" i="6" s="1"/>
  <c r="D18" i="6"/>
  <c r="I18" i="6" s="1"/>
  <c r="C18" i="6"/>
  <c r="E17" i="6"/>
  <c r="J17" i="6" s="1"/>
  <c r="D17" i="6"/>
  <c r="I17" i="6" s="1"/>
  <c r="C17" i="6"/>
  <c r="H17" i="6" s="1"/>
  <c r="E16" i="6"/>
  <c r="J16" i="6" s="1"/>
  <c r="D16" i="6"/>
  <c r="I16" i="6" s="1"/>
  <c r="C16" i="6"/>
  <c r="H16" i="6" s="1"/>
  <c r="H15" i="6"/>
  <c r="E15" i="6"/>
  <c r="J15" i="6" s="1"/>
  <c r="D15" i="6"/>
  <c r="I15" i="6" s="1"/>
  <c r="C15" i="6"/>
  <c r="E14" i="6"/>
  <c r="J14" i="6" s="1"/>
  <c r="D14" i="6"/>
  <c r="I14" i="6" s="1"/>
  <c r="C14" i="6"/>
  <c r="H14" i="6" s="1"/>
  <c r="E13" i="6"/>
  <c r="J13" i="6" s="1"/>
  <c r="K13" i="6" s="1"/>
  <c r="D13" i="6"/>
  <c r="I13" i="6" s="1"/>
  <c r="C13" i="6"/>
  <c r="H13" i="6" s="1"/>
  <c r="J12" i="6"/>
  <c r="I12" i="6"/>
  <c r="H12" i="6"/>
  <c r="E12" i="6"/>
  <c r="D12" i="6"/>
  <c r="C12" i="6"/>
  <c r="E11" i="6"/>
  <c r="J11" i="6" s="1"/>
  <c r="D11" i="6"/>
  <c r="I11" i="6" s="1"/>
  <c r="C11" i="6"/>
  <c r="H11" i="6" s="1"/>
  <c r="I10" i="6"/>
  <c r="H10" i="6"/>
  <c r="E10" i="6"/>
  <c r="J10" i="6" s="1"/>
  <c r="D10" i="6"/>
  <c r="C10" i="6"/>
  <c r="I9" i="6"/>
  <c r="H9" i="6"/>
  <c r="E9" i="6"/>
  <c r="J9" i="6" s="1"/>
  <c r="D9" i="6"/>
  <c r="C9" i="6"/>
  <c r="E8" i="6"/>
  <c r="J8" i="6" s="1"/>
  <c r="D8" i="6"/>
  <c r="I8" i="6" s="1"/>
  <c r="C8" i="6"/>
  <c r="H8" i="6" s="1"/>
  <c r="E7" i="6"/>
  <c r="J7" i="6" s="1"/>
  <c r="D7" i="6"/>
  <c r="I7" i="6" s="1"/>
  <c r="C7" i="6"/>
  <c r="H7" i="6" s="1"/>
  <c r="E6" i="6"/>
  <c r="J6" i="6" s="1"/>
  <c r="D6" i="6"/>
  <c r="I6" i="6" s="1"/>
  <c r="C6" i="6"/>
  <c r="H6" i="6" s="1"/>
  <c r="E5" i="6"/>
  <c r="J5" i="6" s="1"/>
  <c r="D5" i="6"/>
  <c r="I5" i="6" s="1"/>
  <c r="C5" i="6"/>
  <c r="H5" i="6" s="1"/>
  <c r="E42" i="5"/>
  <c r="J42" i="5" s="1"/>
  <c r="D42" i="5"/>
  <c r="I42" i="5" s="1"/>
  <c r="C42" i="5"/>
  <c r="H42" i="5" s="1"/>
  <c r="E41" i="5"/>
  <c r="J41" i="5" s="1"/>
  <c r="D41" i="5"/>
  <c r="I41" i="5" s="1"/>
  <c r="C41" i="5"/>
  <c r="H41" i="5" s="1"/>
  <c r="I40" i="5"/>
  <c r="E40" i="5"/>
  <c r="J40" i="5" s="1"/>
  <c r="D40" i="5"/>
  <c r="C40" i="5"/>
  <c r="H40" i="5" s="1"/>
  <c r="E39" i="5"/>
  <c r="J39" i="5" s="1"/>
  <c r="D39" i="5"/>
  <c r="I39" i="5" s="1"/>
  <c r="C39" i="5"/>
  <c r="H39" i="5" s="1"/>
  <c r="H38" i="5"/>
  <c r="E38" i="5"/>
  <c r="J38" i="5" s="1"/>
  <c r="D38" i="5"/>
  <c r="I38" i="5" s="1"/>
  <c r="K38" i="5" s="1"/>
  <c r="C38" i="5"/>
  <c r="E37" i="5"/>
  <c r="J37" i="5" s="1"/>
  <c r="D37" i="5"/>
  <c r="I37" i="5" s="1"/>
  <c r="C37" i="5"/>
  <c r="H37" i="5" s="1"/>
  <c r="E36" i="5"/>
  <c r="J36" i="5" s="1"/>
  <c r="D36" i="5"/>
  <c r="I36" i="5" s="1"/>
  <c r="C36" i="5"/>
  <c r="H36" i="5" s="1"/>
  <c r="E35" i="5"/>
  <c r="J35" i="5" s="1"/>
  <c r="D35" i="5"/>
  <c r="I35" i="5" s="1"/>
  <c r="C35" i="5"/>
  <c r="H35" i="5" s="1"/>
  <c r="E34" i="5"/>
  <c r="J34" i="5" s="1"/>
  <c r="D34" i="5"/>
  <c r="I34" i="5" s="1"/>
  <c r="C34" i="5"/>
  <c r="H34" i="5" s="1"/>
  <c r="E33" i="5"/>
  <c r="J33" i="5" s="1"/>
  <c r="D33" i="5"/>
  <c r="I33" i="5" s="1"/>
  <c r="C33" i="5"/>
  <c r="H33" i="5" s="1"/>
  <c r="H32" i="5"/>
  <c r="E32" i="5"/>
  <c r="J32" i="5" s="1"/>
  <c r="D32" i="5"/>
  <c r="I32" i="5" s="1"/>
  <c r="C32" i="5"/>
  <c r="E31" i="5"/>
  <c r="J31" i="5" s="1"/>
  <c r="D31" i="5"/>
  <c r="I31" i="5" s="1"/>
  <c r="C31" i="5"/>
  <c r="H31" i="5" s="1"/>
  <c r="E30" i="5"/>
  <c r="J30" i="5" s="1"/>
  <c r="D30" i="5"/>
  <c r="I30" i="5" s="1"/>
  <c r="C30" i="5"/>
  <c r="H30" i="5" s="1"/>
  <c r="H29" i="5"/>
  <c r="E29" i="5"/>
  <c r="J29" i="5" s="1"/>
  <c r="D29" i="5"/>
  <c r="I29" i="5" s="1"/>
  <c r="C29" i="5"/>
  <c r="E28" i="5"/>
  <c r="J28" i="5" s="1"/>
  <c r="D28" i="5"/>
  <c r="I28" i="5" s="1"/>
  <c r="C28" i="5"/>
  <c r="H28" i="5" s="1"/>
  <c r="E27" i="5"/>
  <c r="J27" i="5" s="1"/>
  <c r="D27" i="5"/>
  <c r="I27" i="5" s="1"/>
  <c r="C27" i="5"/>
  <c r="H27" i="5" s="1"/>
  <c r="E26" i="5"/>
  <c r="J26" i="5" s="1"/>
  <c r="D26" i="5"/>
  <c r="I26" i="5" s="1"/>
  <c r="C26" i="5"/>
  <c r="H26" i="5" s="1"/>
  <c r="E25" i="5"/>
  <c r="J25" i="5" s="1"/>
  <c r="D25" i="5"/>
  <c r="I25" i="5" s="1"/>
  <c r="C25" i="5"/>
  <c r="H25" i="5" s="1"/>
  <c r="E24" i="5"/>
  <c r="J24" i="5" s="1"/>
  <c r="D24" i="5"/>
  <c r="I24" i="5" s="1"/>
  <c r="C24" i="5"/>
  <c r="H24" i="5" s="1"/>
  <c r="E23" i="5"/>
  <c r="J23" i="5" s="1"/>
  <c r="D23" i="5"/>
  <c r="I23" i="5" s="1"/>
  <c r="C23" i="5"/>
  <c r="H23" i="5" s="1"/>
  <c r="E22" i="5"/>
  <c r="J22" i="5" s="1"/>
  <c r="D22" i="5"/>
  <c r="I22" i="5" s="1"/>
  <c r="C22" i="5"/>
  <c r="H22" i="5" s="1"/>
  <c r="H21" i="5"/>
  <c r="E21" i="5"/>
  <c r="J21" i="5" s="1"/>
  <c r="D21" i="5"/>
  <c r="I21" i="5" s="1"/>
  <c r="C21" i="5"/>
  <c r="E20" i="5"/>
  <c r="J20" i="5" s="1"/>
  <c r="D20" i="5"/>
  <c r="I20" i="5" s="1"/>
  <c r="C20" i="5"/>
  <c r="H20" i="5" s="1"/>
  <c r="E19" i="5"/>
  <c r="J19" i="5" s="1"/>
  <c r="D19" i="5"/>
  <c r="I19" i="5" s="1"/>
  <c r="C19" i="5"/>
  <c r="H19" i="5" s="1"/>
  <c r="J18" i="5"/>
  <c r="E18" i="5"/>
  <c r="D18" i="5"/>
  <c r="I18" i="5" s="1"/>
  <c r="C18" i="5"/>
  <c r="H18" i="5" s="1"/>
  <c r="E17" i="5"/>
  <c r="J17" i="5" s="1"/>
  <c r="D17" i="5"/>
  <c r="I17" i="5" s="1"/>
  <c r="C17" i="5"/>
  <c r="H17" i="5" s="1"/>
  <c r="E16" i="5"/>
  <c r="J16" i="5" s="1"/>
  <c r="D16" i="5"/>
  <c r="I16" i="5" s="1"/>
  <c r="C16" i="5"/>
  <c r="H16" i="5" s="1"/>
  <c r="J15" i="5"/>
  <c r="E15" i="5"/>
  <c r="D15" i="5"/>
  <c r="I15" i="5" s="1"/>
  <c r="C15" i="5"/>
  <c r="H15" i="5" s="1"/>
  <c r="E14" i="5"/>
  <c r="J14" i="5" s="1"/>
  <c r="D14" i="5"/>
  <c r="I14" i="5" s="1"/>
  <c r="C14" i="5"/>
  <c r="H14" i="5" s="1"/>
  <c r="H13" i="5"/>
  <c r="E13" i="5"/>
  <c r="J13" i="5" s="1"/>
  <c r="D13" i="5"/>
  <c r="I13" i="5" s="1"/>
  <c r="C13" i="5"/>
  <c r="E12" i="5"/>
  <c r="J12" i="5" s="1"/>
  <c r="D12" i="5"/>
  <c r="I12" i="5" s="1"/>
  <c r="C12" i="5"/>
  <c r="H12" i="5" s="1"/>
  <c r="E11" i="5"/>
  <c r="J11" i="5" s="1"/>
  <c r="D11" i="5"/>
  <c r="I11" i="5" s="1"/>
  <c r="C11" i="5"/>
  <c r="H11" i="5" s="1"/>
  <c r="J10" i="5"/>
  <c r="I10" i="5"/>
  <c r="E10" i="5"/>
  <c r="D10" i="5"/>
  <c r="C10" i="5"/>
  <c r="H10" i="5" s="1"/>
  <c r="I9" i="5"/>
  <c r="H9" i="5"/>
  <c r="E9" i="5"/>
  <c r="J9" i="5" s="1"/>
  <c r="D9" i="5"/>
  <c r="C9" i="5"/>
  <c r="H8" i="5"/>
  <c r="E8" i="5"/>
  <c r="J8" i="5" s="1"/>
  <c r="D8" i="5"/>
  <c r="I8" i="5" s="1"/>
  <c r="C8" i="5"/>
  <c r="E7" i="5"/>
  <c r="J7" i="5" s="1"/>
  <c r="D7" i="5"/>
  <c r="I7" i="5" s="1"/>
  <c r="C7" i="5"/>
  <c r="H7" i="5" s="1"/>
  <c r="E6" i="5"/>
  <c r="D6" i="5"/>
  <c r="I6" i="5" s="1"/>
  <c r="C6" i="5"/>
  <c r="H6" i="5" s="1"/>
  <c r="E5" i="5"/>
  <c r="J5" i="5" s="1"/>
  <c r="D5" i="5"/>
  <c r="I5" i="5" s="1"/>
  <c r="C5" i="5"/>
  <c r="H5" i="5" s="1"/>
  <c r="H42" i="4"/>
  <c r="E42" i="4"/>
  <c r="J42" i="4" s="1"/>
  <c r="D42" i="4"/>
  <c r="I42" i="4" s="1"/>
  <c r="C42" i="4"/>
  <c r="E41" i="4"/>
  <c r="J41" i="4" s="1"/>
  <c r="D41" i="4"/>
  <c r="I41" i="4" s="1"/>
  <c r="C41" i="4"/>
  <c r="H41" i="4" s="1"/>
  <c r="H40" i="4"/>
  <c r="E40" i="4"/>
  <c r="J40" i="4" s="1"/>
  <c r="D40" i="4"/>
  <c r="I40" i="4" s="1"/>
  <c r="C40" i="4"/>
  <c r="E39" i="4"/>
  <c r="J39" i="4" s="1"/>
  <c r="D39" i="4"/>
  <c r="I39" i="4" s="1"/>
  <c r="C39" i="4"/>
  <c r="H39" i="4" s="1"/>
  <c r="E38" i="4"/>
  <c r="J38" i="4" s="1"/>
  <c r="D38" i="4"/>
  <c r="I38" i="4" s="1"/>
  <c r="C38" i="4"/>
  <c r="H38" i="4" s="1"/>
  <c r="I37" i="4"/>
  <c r="H37" i="4"/>
  <c r="E37" i="4"/>
  <c r="J37" i="4" s="1"/>
  <c r="D37" i="4"/>
  <c r="C37" i="4"/>
  <c r="E36" i="4"/>
  <c r="J36" i="4" s="1"/>
  <c r="D36" i="4"/>
  <c r="I36" i="4" s="1"/>
  <c r="C36" i="4"/>
  <c r="H36" i="4" s="1"/>
  <c r="H35" i="4"/>
  <c r="E35" i="4"/>
  <c r="J35" i="4" s="1"/>
  <c r="D35" i="4"/>
  <c r="I35" i="4" s="1"/>
  <c r="C35" i="4"/>
  <c r="E34" i="4"/>
  <c r="J34" i="4" s="1"/>
  <c r="D34" i="4"/>
  <c r="I34" i="4" s="1"/>
  <c r="C34" i="4"/>
  <c r="H34" i="4" s="1"/>
  <c r="E33" i="4"/>
  <c r="J33" i="4" s="1"/>
  <c r="D33" i="4"/>
  <c r="I33" i="4" s="1"/>
  <c r="C33" i="4"/>
  <c r="H33" i="4" s="1"/>
  <c r="J32" i="4"/>
  <c r="I32" i="4"/>
  <c r="H32" i="4"/>
  <c r="E32" i="4"/>
  <c r="D32" i="4"/>
  <c r="C32" i="4"/>
  <c r="E31" i="4"/>
  <c r="J31" i="4" s="1"/>
  <c r="D31" i="4"/>
  <c r="I31" i="4" s="1"/>
  <c r="C31" i="4"/>
  <c r="H31" i="4" s="1"/>
  <c r="E30" i="4"/>
  <c r="J30" i="4" s="1"/>
  <c r="D30" i="4"/>
  <c r="I30" i="4" s="1"/>
  <c r="C30" i="4"/>
  <c r="H30" i="4" s="1"/>
  <c r="I29" i="4"/>
  <c r="E29" i="4"/>
  <c r="J29" i="4" s="1"/>
  <c r="D29" i="4"/>
  <c r="C29" i="4"/>
  <c r="H29" i="4" s="1"/>
  <c r="E28" i="4"/>
  <c r="J28" i="4" s="1"/>
  <c r="D28" i="4"/>
  <c r="I28" i="4" s="1"/>
  <c r="C28" i="4"/>
  <c r="H28" i="4" s="1"/>
  <c r="E27" i="4"/>
  <c r="J27" i="4" s="1"/>
  <c r="D27" i="4"/>
  <c r="I27" i="4" s="1"/>
  <c r="C27" i="4"/>
  <c r="H27" i="4" s="1"/>
  <c r="J26" i="4"/>
  <c r="I26" i="4"/>
  <c r="E26" i="4"/>
  <c r="D26" i="4"/>
  <c r="C26" i="4"/>
  <c r="H26" i="4" s="1"/>
  <c r="E25" i="4"/>
  <c r="J25" i="4" s="1"/>
  <c r="D25" i="4"/>
  <c r="I25" i="4" s="1"/>
  <c r="C25" i="4"/>
  <c r="H25" i="4" s="1"/>
  <c r="I24" i="4"/>
  <c r="H24" i="4"/>
  <c r="E24" i="4"/>
  <c r="J24" i="4" s="1"/>
  <c r="D24" i="4"/>
  <c r="C24" i="4"/>
  <c r="E23" i="4"/>
  <c r="J23" i="4" s="1"/>
  <c r="D23" i="4"/>
  <c r="I23" i="4" s="1"/>
  <c r="C23" i="4"/>
  <c r="H23" i="4" s="1"/>
  <c r="E22" i="4"/>
  <c r="J22" i="4" s="1"/>
  <c r="D22" i="4"/>
  <c r="I22" i="4" s="1"/>
  <c r="C22" i="4"/>
  <c r="H22" i="4" s="1"/>
  <c r="K22" i="4" s="1"/>
  <c r="E21" i="4"/>
  <c r="J21" i="4" s="1"/>
  <c r="D21" i="4"/>
  <c r="I21" i="4" s="1"/>
  <c r="C21" i="4"/>
  <c r="H21" i="4" s="1"/>
  <c r="E20" i="4"/>
  <c r="J20" i="4" s="1"/>
  <c r="D20" i="4"/>
  <c r="I20" i="4" s="1"/>
  <c r="C20" i="4"/>
  <c r="H20" i="4" s="1"/>
  <c r="E19" i="4"/>
  <c r="J19" i="4" s="1"/>
  <c r="D19" i="4"/>
  <c r="I19" i="4" s="1"/>
  <c r="C19" i="4"/>
  <c r="H19" i="4" s="1"/>
  <c r="J18" i="4"/>
  <c r="E18" i="4"/>
  <c r="D18" i="4"/>
  <c r="I18" i="4" s="1"/>
  <c r="C18" i="4"/>
  <c r="H18" i="4" s="1"/>
  <c r="E17" i="4"/>
  <c r="J17" i="4" s="1"/>
  <c r="D17" i="4"/>
  <c r="I17" i="4" s="1"/>
  <c r="C17" i="4"/>
  <c r="H17" i="4" s="1"/>
  <c r="E16" i="4"/>
  <c r="J16" i="4" s="1"/>
  <c r="D16" i="4"/>
  <c r="I16" i="4" s="1"/>
  <c r="C16" i="4"/>
  <c r="H16" i="4" s="1"/>
  <c r="E15" i="4"/>
  <c r="J15" i="4" s="1"/>
  <c r="D15" i="4"/>
  <c r="I15" i="4" s="1"/>
  <c r="C15" i="4"/>
  <c r="H15" i="4" s="1"/>
  <c r="E14" i="4"/>
  <c r="J14" i="4" s="1"/>
  <c r="D14" i="4"/>
  <c r="I14" i="4" s="1"/>
  <c r="C14" i="4"/>
  <c r="H14" i="4" s="1"/>
  <c r="I13" i="4"/>
  <c r="H13" i="4"/>
  <c r="E13" i="4"/>
  <c r="J13" i="4" s="1"/>
  <c r="D13" i="4"/>
  <c r="C13" i="4"/>
  <c r="E12" i="4"/>
  <c r="J12" i="4" s="1"/>
  <c r="D12" i="4"/>
  <c r="I12" i="4" s="1"/>
  <c r="C12" i="4"/>
  <c r="H12" i="4" s="1"/>
  <c r="E11" i="4"/>
  <c r="J11" i="4" s="1"/>
  <c r="D11" i="4"/>
  <c r="I11" i="4" s="1"/>
  <c r="C11" i="4"/>
  <c r="H11" i="4" s="1"/>
  <c r="E10" i="4"/>
  <c r="J10" i="4" s="1"/>
  <c r="D10" i="4"/>
  <c r="I10" i="4" s="1"/>
  <c r="K10" i="4" s="1"/>
  <c r="C10" i="4"/>
  <c r="H10" i="4" s="1"/>
  <c r="I9" i="4"/>
  <c r="H9" i="4"/>
  <c r="E9" i="4"/>
  <c r="J9" i="4" s="1"/>
  <c r="D9" i="4"/>
  <c r="C9" i="4"/>
  <c r="E8" i="4"/>
  <c r="J8" i="4" s="1"/>
  <c r="D8" i="4"/>
  <c r="I8" i="4" s="1"/>
  <c r="C8" i="4"/>
  <c r="H8" i="4" s="1"/>
  <c r="E7" i="4"/>
  <c r="J7" i="4" s="1"/>
  <c r="D7" i="4"/>
  <c r="I7" i="4" s="1"/>
  <c r="C7" i="4"/>
  <c r="H7" i="4" s="1"/>
  <c r="E6" i="4"/>
  <c r="J6" i="4" s="1"/>
  <c r="D6" i="4"/>
  <c r="C6" i="4"/>
  <c r="H6" i="4" s="1"/>
  <c r="J5" i="4"/>
  <c r="E5" i="4"/>
  <c r="D5" i="4"/>
  <c r="I5" i="4" s="1"/>
  <c r="C5" i="4"/>
  <c r="H5" i="4" s="1"/>
  <c r="E42" i="3"/>
  <c r="J42" i="3" s="1"/>
  <c r="D42" i="3"/>
  <c r="I42" i="3" s="1"/>
  <c r="C42" i="3"/>
  <c r="H42" i="3" s="1"/>
  <c r="E41" i="3"/>
  <c r="J41" i="3" s="1"/>
  <c r="D41" i="3"/>
  <c r="I41" i="3" s="1"/>
  <c r="C41" i="3"/>
  <c r="H41" i="3" s="1"/>
  <c r="E40" i="3"/>
  <c r="J40" i="3" s="1"/>
  <c r="D40" i="3"/>
  <c r="I40" i="3" s="1"/>
  <c r="C40" i="3"/>
  <c r="H40" i="3" s="1"/>
  <c r="E39" i="3"/>
  <c r="J39" i="3" s="1"/>
  <c r="D39" i="3"/>
  <c r="I39" i="3" s="1"/>
  <c r="C39" i="3"/>
  <c r="H39" i="3" s="1"/>
  <c r="J38" i="3"/>
  <c r="I38" i="3"/>
  <c r="H38" i="3"/>
  <c r="E38" i="3"/>
  <c r="D38" i="3"/>
  <c r="C38" i="3"/>
  <c r="E37" i="3"/>
  <c r="J37" i="3" s="1"/>
  <c r="D37" i="3"/>
  <c r="I37" i="3" s="1"/>
  <c r="C37" i="3"/>
  <c r="H37" i="3" s="1"/>
  <c r="E36" i="3"/>
  <c r="J36" i="3" s="1"/>
  <c r="D36" i="3"/>
  <c r="I36" i="3" s="1"/>
  <c r="C36" i="3"/>
  <c r="H36" i="3" s="1"/>
  <c r="E35" i="3"/>
  <c r="J35" i="3" s="1"/>
  <c r="D35" i="3"/>
  <c r="I35" i="3" s="1"/>
  <c r="C35" i="3"/>
  <c r="H35" i="3" s="1"/>
  <c r="E34" i="3"/>
  <c r="J34" i="3" s="1"/>
  <c r="D34" i="3"/>
  <c r="I34" i="3" s="1"/>
  <c r="C34" i="3"/>
  <c r="H34" i="3" s="1"/>
  <c r="I33" i="3"/>
  <c r="H33" i="3"/>
  <c r="E33" i="3"/>
  <c r="J33" i="3" s="1"/>
  <c r="D33" i="3"/>
  <c r="C33" i="3"/>
  <c r="E32" i="3"/>
  <c r="J32" i="3" s="1"/>
  <c r="D32" i="3"/>
  <c r="I32" i="3" s="1"/>
  <c r="C32" i="3"/>
  <c r="H32" i="3" s="1"/>
  <c r="E31" i="3"/>
  <c r="J31" i="3" s="1"/>
  <c r="D31" i="3"/>
  <c r="I31" i="3" s="1"/>
  <c r="C31" i="3"/>
  <c r="H31" i="3" s="1"/>
  <c r="E30" i="3"/>
  <c r="J30" i="3" s="1"/>
  <c r="D30" i="3"/>
  <c r="I30" i="3" s="1"/>
  <c r="C30" i="3"/>
  <c r="H30" i="3" s="1"/>
  <c r="E29" i="3"/>
  <c r="J29" i="3" s="1"/>
  <c r="D29" i="3"/>
  <c r="I29" i="3" s="1"/>
  <c r="C29" i="3"/>
  <c r="H29" i="3" s="1"/>
  <c r="E28" i="3"/>
  <c r="J28" i="3" s="1"/>
  <c r="D28" i="3"/>
  <c r="I28" i="3" s="1"/>
  <c r="C28" i="3"/>
  <c r="H28" i="3" s="1"/>
  <c r="E27" i="3"/>
  <c r="J27" i="3" s="1"/>
  <c r="D27" i="3"/>
  <c r="I27" i="3" s="1"/>
  <c r="C27" i="3"/>
  <c r="H27" i="3" s="1"/>
  <c r="E26" i="3"/>
  <c r="J26" i="3" s="1"/>
  <c r="D26" i="3"/>
  <c r="I26" i="3" s="1"/>
  <c r="C26" i="3"/>
  <c r="H26" i="3" s="1"/>
  <c r="J25" i="3"/>
  <c r="I25" i="3"/>
  <c r="K25" i="3" s="1"/>
  <c r="E25" i="3"/>
  <c r="D25" i="3"/>
  <c r="C25" i="3"/>
  <c r="H25" i="3" s="1"/>
  <c r="E24" i="3"/>
  <c r="J24" i="3" s="1"/>
  <c r="D24" i="3"/>
  <c r="I24" i="3" s="1"/>
  <c r="C24" i="3"/>
  <c r="H24" i="3" s="1"/>
  <c r="E23" i="3"/>
  <c r="J23" i="3" s="1"/>
  <c r="D23" i="3"/>
  <c r="I23" i="3" s="1"/>
  <c r="C23" i="3"/>
  <c r="H23" i="3" s="1"/>
  <c r="E22" i="3"/>
  <c r="J22" i="3" s="1"/>
  <c r="D22" i="3"/>
  <c r="I22" i="3" s="1"/>
  <c r="C22" i="3"/>
  <c r="H22" i="3" s="1"/>
  <c r="E21" i="3"/>
  <c r="J21" i="3" s="1"/>
  <c r="D21" i="3"/>
  <c r="I21" i="3" s="1"/>
  <c r="C21" i="3"/>
  <c r="H21" i="3" s="1"/>
  <c r="E20" i="3"/>
  <c r="J20" i="3" s="1"/>
  <c r="D20" i="3"/>
  <c r="I20" i="3" s="1"/>
  <c r="C20" i="3"/>
  <c r="H20" i="3" s="1"/>
  <c r="E19" i="3"/>
  <c r="J19" i="3" s="1"/>
  <c r="D19" i="3"/>
  <c r="I19" i="3" s="1"/>
  <c r="C19" i="3"/>
  <c r="H19" i="3" s="1"/>
  <c r="E18" i="3"/>
  <c r="J18" i="3" s="1"/>
  <c r="D18" i="3"/>
  <c r="C18" i="3"/>
  <c r="H18" i="3" s="1"/>
  <c r="H17" i="3"/>
  <c r="E17" i="3"/>
  <c r="J17" i="3" s="1"/>
  <c r="D17" i="3"/>
  <c r="I17" i="3" s="1"/>
  <c r="C17" i="3"/>
  <c r="E16" i="3"/>
  <c r="J16" i="3" s="1"/>
  <c r="D16" i="3"/>
  <c r="C16" i="3"/>
  <c r="H16" i="3" s="1"/>
  <c r="E15" i="3"/>
  <c r="J15" i="3" s="1"/>
  <c r="D15" i="3"/>
  <c r="I15" i="3" s="1"/>
  <c r="C15" i="3"/>
  <c r="H15" i="3" s="1"/>
  <c r="J14" i="3"/>
  <c r="I14" i="3"/>
  <c r="H14" i="3"/>
  <c r="E14" i="3"/>
  <c r="D14" i="3"/>
  <c r="C14" i="3"/>
  <c r="E13" i="3"/>
  <c r="J13" i="3" s="1"/>
  <c r="D13" i="3"/>
  <c r="I13" i="3" s="1"/>
  <c r="C13" i="3"/>
  <c r="H13" i="3" s="1"/>
  <c r="E12" i="3"/>
  <c r="J12" i="3" s="1"/>
  <c r="D12" i="3"/>
  <c r="I12" i="3" s="1"/>
  <c r="C12" i="3"/>
  <c r="H12" i="3" s="1"/>
  <c r="E11" i="3"/>
  <c r="J11" i="3" s="1"/>
  <c r="D11" i="3"/>
  <c r="I11" i="3" s="1"/>
  <c r="C11" i="3"/>
  <c r="H11" i="3" s="1"/>
  <c r="E10" i="3"/>
  <c r="J10" i="3" s="1"/>
  <c r="D10" i="3"/>
  <c r="I10" i="3" s="1"/>
  <c r="C10" i="3"/>
  <c r="H10" i="3" s="1"/>
  <c r="I9" i="3"/>
  <c r="H9" i="3"/>
  <c r="E9" i="3"/>
  <c r="J9" i="3" s="1"/>
  <c r="K9" i="3" s="1"/>
  <c r="D9" i="3"/>
  <c r="C9" i="3"/>
  <c r="E8" i="3"/>
  <c r="J8" i="3" s="1"/>
  <c r="D8" i="3"/>
  <c r="I8" i="3" s="1"/>
  <c r="C8" i="3"/>
  <c r="H8" i="3" s="1"/>
  <c r="H7" i="3"/>
  <c r="E7" i="3"/>
  <c r="J7" i="3" s="1"/>
  <c r="D7" i="3"/>
  <c r="I7" i="3" s="1"/>
  <c r="C7" i="3"/>
  <c r="E6" i="3"/>
  <c r="J6" i="3" s="1"/>
  <c r="D6" i="3"/>
  <c r="I6" i="3" s="1"/>
  <c r="C6" i="3"/>
  <c r="H6" i="3" s="1"/>
  <c r="E5" i="3"/>
  <c r="J5" i="3" s="1"/>
  <c r="D5" i="3"/>
  <c r="I5" i="3" s="1"/>
  <c r="C5" i="3"/>
  <c r="H5" i="3" s="1"/>
  <c r="E42" i="2"/>
  <c r="J42" i="2" s="1"/>
  <c r="D42" i="2"/>
  <c r="I42" i="2" s="1"/>
  <c r="C42" i="2"/>
  <c r="H42" i="2" s="1"/>
  <c r="J41" i="2"/>
  <c r="E41" i="2"/>
  <c r="D41" i="2"/>
  <c r="I41" i="2" s="1"/>
  <c r="K41" i="2" s="1"/>
  <c r="C41" i="2"/>
  <c r="H41" i="2" s="1"/>
  <c r="E40" i="2"/>
  <c r="J40" i="2" s="1"/>
  <c r="D40" i="2"/>
  <c r="I40" i="2" s="1"/>
  <c r="C40" i="2"/>
  <c r="H40" i="2" s="1"/>
  <c r="I39" i="2"/>
  <c r="H39" i="2"/>
  <c r="E39" i="2"/>
  <c r="D39" i="2"/>
  <c r="C39" i="2"/>
  <c r="E38" i="2"/>
  <c r="J38" i="2" s="1"/>
  <c r="D38" i="2"/>
  <c r="I38" i="2" s="1"/>
  <c r="C38" i="2"/>
  <c r="H38" i="2" s="1"/>
  <c r="E37" i="2"/>
  <c r="J37" i="2" s="1"/>
  <c r="D37" i="2"/>
  <c r="I37" i="2" s="1"/>
  <c r="C37" i="2"/>
  <c r="H37" i="2" s="1"/>
  <c r="E36" i="2"/>
  <c r="J36" i="2" s="1"/>
  <c r="D36" i="2"/>
  <c r="I36" i="2" s="1"/>
  <c r="C36" i="2"/>
  <c r="H36" i="2" s="1"/>
  <c r="E35" i="2"/>
  <c r="J35" i="2" s="1"/>
  <c r="D35" i="2"/>
  <c r="I35" i="2" s="1"/>
  <c r="C35" i="2"/>
  <c r="H35" i="2" s="1"/>
  <c r="E34" i="2"/>
  <c r="J34" i="2" s="1"/>
  <c r="D34" i="2"/>
  <c r="I34" i="2" s="1"/>
  <c r="C34" i="2"/>
  <c r="H34" i="2" s="1"/>
  <c r="E33" i="2"/>
  <c r="J33" i="2" s="1"/>
  <c r="D33" i="2"/>
  <c r="I33" i="2" s="1"/>
  <c r="C33" i="2"/>
  <c r="H33" i="2" s="1"/>
  <c r="E32" i="2"/>
  <c r="J32" i="2" s="1"/>
  <c r="D32" i="2"/>
  <c r="I32" i="2" s="1"/>
  <c r="C32" i="2"/>
  <c r="H32" i="2" s="1"/>
  <c r="E31" i="2"/>
  <c r="J31" i="2" s="1"/>
  <c r="D31" i="2"/>
  <c r="C31" i="2"/>
  <c r="H31" i="2" s="1"/>
  <c r="E30" i="2"/>
  <c r="J30" i="2" s="1"/>
  <c r="D30" i="2"/>
  <c r="I30" i="2" s="1"/>
  <c r="C30" i="2"/>
  <c r="H30" i="2" s="1"/>
  <c r="E29" i="2"/>
  <c r="J29" i="2" s="1"/>
  <c r="D29" i="2"/>
  <c r="I29" i="2" s="1"/>
  <c r="C29" i="2"/>
  <c r="H29" i="2" s="1"/>
  <c r="J28" i="2"/>
  <c r="I28" i="2"/>
  <c r="E28" i="2"/>
  <c r="D28" i="2"/>
  <c r="C28" i="2"/>
  <c r="H28" i="2" s="1"/>
  <c r="E27" i="2"/>
  <c r="J27" i="2" s="1"/>
  <c r="D27" i="2"/>
  <c r="I27" i="2" s="1"/>
  <c r="C27" i="2"/>
  <c r="H27" i="2" s="1"/>
  <c r="I26" i="2"/>
  <c r="H26" i="2"/>
  <c r="E26" i="2"/>
  <c r="J26" i="2" s="1"/>
  <c r="D26" i="2"/>
  <c r="C26" i="2"/>
  <c r="E25" i="2"/>
  <c r="J25" i="2" s="1"/>
  <c r="D25" i="2"/>
  <c r="I25" i="2" s="1"/>
  <c r="C25" i="2"/>
  <c r="H25" i="2" s="1"/>
  <c r="E24" i="2"/>
  <c r="J24" i="2" s="1"/>
  <c r="D24" i="2"/>
  <c r="I24" i="2" s="1"/>
  <c r="C24" i="2"/>
  <c r="H24" i="2" s="1"/>
  <c r="J23" i="2"/>
  <c r="E23" i="2"/>
  <c r="D23" i="2"/>
  <c r="I23" i="2" s="1"/>
  <c r="C23" i="2"/>
  <c r="H23" i="2" s="1"/>
  <c r="E22" i="2"/>
  <c r="J22" i="2" s="1"/>
  <c r="K22" i="2" s="1"/>
  <c r="D22" i="2"/>
  <c r="I22" i="2" s="1"/>
  <c r="C22" i="2"/>
  <c r="H22" i="2" s="1"/>
  <c r="J21" i="2"/>
  <c r="I21" i="2"/>
  <c r="H21" i="2"/>
  <c r="E21" i="2"/>
  <c r="D21" i="2"/>
  <c r="C21" i="2"/>
  <c r="E20" i="2"/>
  <c r="J20" i="2" s="1"/>
  <c r="D20" i="2"/>
  <c r="I20" i="2" s="1"/>
  <c r="C20" i="2"/>
  <c r="H20" i="2" s="1"/>
  <c r="E19" i="2"/>
  <c r="J19" i="2" s="1"/>
  <c r="D19" i="2"/>
  <c r="I19" i="2" s="1"/>
  <c r="C19" i="2"/>
  <c r="H19" i="2" s="1"/>
  <c r="E18" i="2"/>
  <c r="J18" i="2" s="1"/>
  <c r="D18" i="2"/>
  <c r="I18" i="2" s="1"/>
  <c r="C18" i="2"/>
  <c r="H18" i="2" s="1"/>
  <c r="J17" i="2"/>
  <c r="E17" i="2"/>
  <c r="D17" i="2"/>
  <c r="I17" i="2" s="1"/>
  <c r="C17" i="2"/>
  <c r="H17" i="2" s="1"/>
  <c r="E16" i="2"/>
  <c r="J16" i="2" s="1"/>
  <c r="D16" i="2"/>
  <c r="I16" i="2" s="1"/>
  <c r="C16" i="2"/>
  <c r="H16" i="2" s="1"/>
  <c r="I15" i="2"/>
  <c r="H15" i="2"/>
  <c r="E15" i="2"/>
  <c r="J15" i="2" s="1"/>
  <c r="D15" i="2"/>
  <c r="C15" i="2"/>
  <c r="E14" i="2"/>
  <c r="J14" i="2" s="1"/>
  <c r="D14" i="2"/>
  <c r="C14" i="2"/>
  <c r="H14" i="2" s="1"/>
  <c r="E13" i="2"/>
  <c r="J13" i="2" s="1"/>
  <c r="D13" i="2"/>
  <c r="I13" i="2" s="1"/>
  <c r="C13" i="2"/>
  <c r="H13" i="2" s="1"/>
  <c r="E12" i="2"/>
  <c r="J12" i="2" s="1"/>
  <c r="D12" i="2"/>
  <c r="C12" i="2"/>
  <c r="H12" i="2" s="1"/>
  <c r="E11" i="2"/>
  <c r="J11" i="2" s="1"/>
  <c r="D11" i="2"/>
  <c r="I11" i="2" s="1"/>
  <c r="C11" i="2"/>
  <c r="H11" i="2" s="1"/>
  <c r="E10" i="2"/>
  <c r="J10" i="2" s="1"/>
  <c r="D10" i="2"/>
  <c r="I10" i="2" s="1"/>
  <c r="C10" i="2"/>
  <c r="H10" i="2" s="1"/>
  <c r="I9" i="2"/>
  <c r="H9" i="2"/>
  <c r="E9" i="2"/>
  <c r="J9" i="2" s="1"/>
  <c r="D9" i="2"/>
  <c r="C9" i="2"/>
  <c r="E8" i="2"/>
  <c r="J8" i="2" s="1"/>
  <c r="D8" i="2"/>
  <c r="I8" i="2" s="1"/>
  <c r="C8" i="2"/>
  <c r="H8" i="2" s="1"/>
  <c r="E7" i="2"/>
  <c r="J7" i="2" s="1"/>
  <c r="D7" i="2"/>
  <c r="I7" i="2" s="1"/>
  <c r="C7" i="2"/>
  <c r="H7" i="2" s="1"/>
  <c r="E6" i="2"/>
  <c r="J6" i="2" s="1"/>
  <c r="D6" i="2"/>
  <c r="I6" i="2" s="1"/>
  <c r="C6" i="2"/>
  <c r="H6" i="2" s="1"/>
  <c r="E5" i="2"/>
  <c r="J5" i="2" s="1"/>
  <c r="D5" i="2"/>
  <c r="I5" i="2" s="1"/>
  <c r="C5" i="2"/>
  <c r="H5" i="2" s="1"/>
  <c r="B6" i="8"/>
  <c r="B5" i="8"/>
  <c r="B4" i="8"/>
  <c r="F29" i="5" s="1"/>
  <c r="N29" i="7" s="1"/>
  <c r="K5" i="2" l="1"/>
  <c r="K20" i="3"/>
  <c r="H20" i="7" s="1"/>
  <c r="K25" i="4"/>
  <c r="K29" i="5"/>
  <c r="F42" i="6"/>
  <c r="R42" i="7" s="1"/>
  <c r="K38" i="3"/>
  <c r="H38" i="7" s="1"/>
  <c r="K11" i="6"/>
  <c r="T11" i="7" s="1"/>
  <c r="K27" i="2"/>
  <c r="K32" i="4"/>
  <c r="L32" i="7" s="1"/>
  <c r="F39" i="6"/>
  <c r="R39" i="7" s="1"/>
  <c r="F15" i="2"/>
  <c r="B15" i="7" s="1"/>
  <c r="K30" i="2"/>
  <c r="D30" i="7" s="1"/>
  <c r="F13" i="3"/>
  <c r="F13" i="7" s="1"/>
  <c r="F37" i="3"/>
  <c r="F37" i="7" s="1"/>
  <c r="K8" i="6"/>
  <c r="K23" i="5"/>
  <c r="K34" i="4"/>
  <c r="F11" i="3"/>
  <c r="F11" i="7" s="1"/>
  <c r="K36" i="4"/>
  <c r="L36" i="7" s="1"/>
  <c r="K30" i="6"/>
  <c r="T30" i="7" s="1"/>
  <c r="F17" i="4"/>
  <c r="J17" i="7" s="1"/>
  <c r="K24" i="2"/>
  <c r="D24" i="7" s="1"/>
  <c r="F24" i="2"/>
  <c r="B24" i="7" s="1"/>
  <c r="F34" i="4"/>
  <c r="J34" i="7" s="1"/>
  <c r="F27" i="3"/>
  <c r="F27" i="7" s="1"/>
  <c r="F19" i="3"/>
  <c r="F19" i="7" s="1"/>
  <c r="F36" i="4"/>
  <c r="F12" i="4"/>
  <c r="J12" i="7" s="1"/>
  <c r="F42" i="3"/>
  <c r="F42" i="7" s="1"/>
  <c r="F29" i="3"/>
  <c r="F27" i="6"/>
  <c r="R27" i="7" s="1"/>
  <c r="F9" i="4"/>
  <c r="K30" i="3"/>
  <c r="H30" i="7" s="1"/>
  <c r="K16" i="2"/>
  <c r="D16" i="7" s="1"/>
  <c r="F24" i="5"/>
  <c r="N24" i="7" s="1"/>
  <c r="K8" i="3"/>
  <c r="H8" i="7" s="1"/>
  <c r="K9" i="5"/>
  <c r="P9" i="7" s="1"/>
  <c r="K5" i="6"/>
  <c r="K11" i="2"/>
  <c r="K35" i="2"/>
  <c r="K5" i="4"/>
  <c r="L5" i="7" s="1"/>
  <c r="K35" i="3"/>
  <c r="K15" i="4"/>
  <c r="K42" i="4"/>
  <c r="L42" i="7" s="1"/>
  <c r="K33" i="2"/>
  <c r="F39" i="2"/>
  <c r="B39" i="7" s="1"/>
  <c r="K33" i="3"/>
  <c r="H33" i="7" s="1"/>
  <c r="K13" i="4"/>
  <c r="L13" i="7" s="1"/>
  <c r="K35" i="5"/>
  <c r="P35" i="7" s="1"/>
  <c r="H25" i="7"/>
  <c r="H9" i="7"/>
  <c r="D6" i="1"/>
  <c r="L22" i="7"/>
  <c r="D11" i="7"/>
  <c r="D35" i="7"/>
  <c r="D8" i="1"/>
  <c r="D5" i="7"/>
  <c r="D22" i="7"/>
  <c r="P29" i="7"/>
  <c r="P38" i="7"/>
  <c r="T35" i="7"/>
  <c r="D27" i="7"/>
  <c r="T13" i="7"/>
  <c r="L25" i="7"/>
  <c r="D33" i="7"/>
  <c r="H35" i="7"/>
  <c r="L15" i="7"/>
  <c r="K31" i="5"/>
  <c r="D41" i="7"/>
  <c r="L10" i="7"/>
  <c r="I18" i="3"/>
  <c r="K18" i="3" s="1"/>
  <c r="F18" i="3"/>
  <c r="B7" i="1"/>
  <c r="J9" i="7"/>
  <c r="T5" i="7"/>
  <c r="F20" i="2"/>
  <c r="F13" i="5"/>
  <c r="K10" i="2"/>
  <c r="I31" i="2"/>
  <c r="K31" i="2" s="1"/>
  <c r="F31" i="2"/>
  <c r="K42" i="3"/>
  <c r="F40" i="5"/>
  <c r="F27" i="4"/>
  <c r="L34" i="7"/>
  <c r="J6" i="5"/>
  <c r="K6" i="5" s="1"/>
  <c r="F6" i="5"/>
  <c r="F26" i="5"/>
  <c r="F9" i="2"/>
  <c r="I20" i="6"/>
  <c r="K20" i="6" s="1"/>
  <c r="F20" i="6"/>
  <c r="F31" i="4"/>
  <c r="K19" i="3"/>
  <c r="F7" i="2"/>
  <c r="F24" i="3"/>
  <c r="K37" i="3"/>
  <c r="F19" i="4"/>
  <c r="F26" i="6"/>
  <c r="F29" i="6"/>
  <c r="F24" i="4"/>
  <c r="I6" i="4"/>
  <c r="F6" i="4"/>
  <c r="F8" i="5"/>
  <c r="K27" i="5"/>
  <c r="K11" i="5"/>
  <c r="F7" i="3"/>
  <c r="P23" i="7"/>
  <c r="K18" i="2"/>
  <c r="F11" i="5"/>
  <c r="F10" i="6"/>
  <c r="I23" i="6"/>
  <c r="K23" i="6" s="1"/>
  <c r="F23" i="6"/>
  <c r="I16" i="3"/>
  <c r="K16" i="3" s="1"/>
  <c r="F16" i="3"/>
  <c r="F18" i="2"/>
  <c r="F5" i="3"/>
  <c r="I14" i="2"/>
  <c r="K14" i="2" s="1"/>
  <c r="F14" i="2"/>
  <c r="K21" i="2"/>
  <c r="I33" i="6"/>
  <c r="F33" i="6"/>
  <c r="F40" i="4"/>
  <c r="F26" i="2"/>
  <c r="K14" i="3"/>
  <c r="I12" i="2"/>
  <c r="K12" i="2" s="1"/>
  <c r="F12" i="2"/>
  <c r="F37" i="2"/>
  <c r="F29" i="7"/>
  <c r="J36" i="7"/>
  <c r="K39" i="6"/>
  <c r="K33" i="6"/>
  <c r="K27" i="6"/>
  <c r="K21" i="6"/>
  <c r="F37" i="6"/>
  <c r="F31" i="6"/>
  <c r="F25" i="6"/>
  <c r="K40" i="6"/>
  <c r="K34" i="6"/>
  <c r="K28" i="6"/>
  <c r="K22" i="6"/>
  <c r="K16" i="6"/>
  <c r="F38" i="6"/>
  <c r="F34" i="6"/>
  <c r="K32" i="6"/>
  <c r="F13" i="6"/>
  <c r="F7" i="6"/>
  <c r="F39" i="5"/>
  <c r="F33" i="5"/>
  <c r="F27" i="5"/>
  <c r="F21" i="5"/>
  <c r="K36" i="6"/>
  <c r="K29" i="6"/>
  <c r="F18" i="6"/>
  <c r="K15" i="6"/>
  <c r="K10" i="6"/>
  <c r="K42" i="5"/>
  <c r="K36" i="5"/>
  <c r="K30" i="5"/>
  <c r="K24" i="5"/>
  <c r="K18" i="5"/>
  <c r="K12" i="5"/>
  <c r="K38" i="4"/>
  <c r="K41" i="6"/>
  <c r="F40" i="6"/>
  <c r="K38" i="6"/>
  <c r="F19" i="6"/>
  <c r="F12" i="6"/>
  <c r="F42" i="5"/>
  <c r="K21" i="5"/>
  <c r="F19" i="5"/>
  <c r="F10" i="5"/>
  <c r="F5" i="5"/>
  <c r="K40" i="4"/>
  <c r="F38" i="4"/>
  <c r="F32" i="4"/>
  <c r="F26" i="4"/>
  <c r="F20" i="4"/>
  <c r="F14" i="4"/>
  <c r="F8" i="4"/>
  <c r="F40" i="3"/>
  <c r="F34" i="3"/>
  <c r="F28" i="3"/>
  <c r="F22" i="3"/>
  <c r="F35" i="6"/>
  <c r="K31" i="6"/>
  <c r="K17" i="6"/>
  <c r="K6" i="6"/>
  <c r="K40" i="5"/>
  <c r="F35" i="5"/>
  <c r="F15" i="5"/>
  <c r="K7" i="5"/>
  <c r="K35" i="4"/>
  <c r="K29" i="4"/>
  <c r="K23" i="4"/>
  <c r="K17" i="4"/>
  <c r="K42" i="6"/>
  <c r="F30" i="6"/>
  <c r="F22" i="6"/>
  <c r="K33" i="5"/>
  <c r="F31" i="5"/>
  <c r="F28" i="5"/>
  <c r="K25" i="5"/>
  <c r="F20" i="5"/>
  <c r="K17" i="5"/>
  <c r="K41" i="4"/>
  <c r="F33" i="4"/>
  <c r="F32" i="6"/>
  <c r="K14" i="6"/>
  <c r="F37" i="5"/>
  <c r="F32" i="5"/>
  <c r="K22" i="5"/>
  <c r="F18" i="5"/>
  <c r="K16" i="5"/>
  <c r="K13" i="5"/>
  <c r="F12" i="5"/>
  <c r="F9" i="5"/>
  <c r="K30" i="4"/>
  <c r="F29" i="4"/>
  <c r="K40" i="3"/>
  <c r="F38" i="3"/>
  <c r="K31" i="3"/>
  <c r="K22" i="3"/>
  <c r="F20" i="3"/>
  <c r="F14" i="3"/>
  <c r="F8" i="3"/>
  <c r="F40" i="2"/>
  <c r="F34" i="2"/>
  <c r="F28" i="2"/>
  <c r="F22" i="2"/>
  <c r="F16" i="2"/>
  <c r="F10" i="2"/>
  <c r="K25" i="2"/>
  <c r="K19" i="2"/>
  <c r="F23" i="2"/>
  <c r="K37" i="6"/>
  <c r="K24" i="6"/>
  <c r="K28" i="5"/>
  <c r="F22" i="5"/>
  <c r="K5" i="5"/>
  <c r="K31" i="4"/>
  <c r="K41" i="3"/>
  <c r="F35" i="3"/>
  <c r="K12" i="3"/>
  <c r="K6" i="3"/>
  <c r="K32" i="2"/>
  <c r="K19" i="6"/>
  <c r="F16" i="6"/>
  <c r="K12" i="6"/>
  <c r="F5" i="6"/>
  <c r="K41" i="5"/>
  <c r="F16" i="5"/>
  <c r="F39" i="4"/>
  <c r="K27" i="4"/>
  <c r="F22" i="4"/>
  <c r="F10" i="4"/>
  <c r="K7" i="4"/>
  <c r="F5" i="4"/>
  <c r="K27" i="3"/>
  <c r="F25" i="3"/>
  <c r="K17" i="3"/>
  <c r="K11" i="3"/>
  <c r="K5" i="3"/>
  <c r="K37" i="2"/>
  <c r="K13" i="2"/>
  <c r="K7" i="2"/>
  <c r="F11" i="2"/>
  <c r="F5" i="2"/>
  <c r="F28" i="6"/>
  <c r="K9" i="6"/>
  <c r="K20" i="5"/>
  <c r="F42" i="4"/>
  <c r="K16" i="4"/>
  <c r="K32" i="3"/>
  <c r="K38" i="2"/>
  <c r="K26" i="2"/>
  <c r="F36" i="6"/>
  <c r="K26" i="6"/>
  <c r="F14" i="6"/>
  <c r="F8" i="6"/>
  <c r="K39" i="5"/>
  <c r="F38" i="5"/>
  <c r="K14" i="5"/>
  <c r="K37" i="4"/>
  <c r="K20" i="4"/>
  <c r="F18" i="4"/>
  <c r="F15" i="4"/>
  <c r="K12" i="4"/>
  <c r="F39" i="3"/>
  <c r="K36" i="3"/>
  <c r="F30" i="3"/>
  <c r="F21" i="3"/>
  <c r="F15" i="3"/>
  <c r="F9" i="3"/>
  <c r="F41" i="2"/>
  <c r="F35" i="2"/>
  <c r="F29" i="2"/>
  <c r="F17" i="2"/>
  <c r="F41" i="6"/>
  <c r="F21" i="6"/>
  <c r="F11" i="6"/>
  <c r="F30" i="5"/>
  <c r="K23" i="3"/>
  <c r="K20" i="2"/>
  <c r="K8" i="2"/>
  <c r="K29" i="2"/>
  <c r="F12" i="3"/>
  <c r="F26" i="3"/>
  <c r="F41" i="3"/>
  <c r="F16" i="4"/>
  <c r="F41" i="5"/>
  <c r="F6" i="2"/>
  <c r="F25" i="2"/>
  <c r="F33" i="2"/>
  <c r="F42" i="2"/>
  <c r="K13" i="3"/>
  <c r="K9" i="4"/>
  <c r="F28" i="4"/>
  <c r="K37" i="5"/>
  <c r="K6" i="2"/>
  <c r="K23" i="2"/>
  <c r="K7" i="3"/>
  <c r="K14" i="4"/>
  <c r="F23" i="4"/>
  <c r="K26" i="5"/>
  <c r="F19" i="2"/>
  <c r="F27" i="2"/>
  <c r="K34" i="2"/>
  <c r="F36" i="2"/>
  <c r="F38" i="2"/>
  <c r="J39" i="2"/>
  <c r="K39" i="2" s="1"/>
  <c r="K21" i="3"/>
  <c r="K21" i="4"/>
  <c r="F30" i="4"/>
  <c r="K39" i="4"/>
  <c r="K15" i="5"/>
  <c r="F23" i="5"/>
  <c r="F25" i="5"/>
  <c r="F36" i="5"/>
  <c r="K7" i="6"/>
  <c r="F9" i="6"/>
  <c r="F17" i="6"/>
  <c r="T8" i="7"/>
  <c r="K6" i="4"/>
  <c r="K19" i="4"/>
  <c r="K24" i="4"/>
  <c r="F35" i="4"/>
  <c r="F6" i="3"/>
  <c r="K10" i="3"/>
  <c r="F23" i="3"/>
  <c r="K29" i="3"/>
  <c r="F13" i="4"/>
  <c r="K33" i="4"/>
  <c r="K8" i="5"/>
  <c r="K42" i="2"/>
  <c r="K39" i="3"/>
  <c r="K11" i="4"/>
  <c r="F34" i="5"/>
  <c r="K18" i="6"/>
  <c r="K25" i="6"/>
  <c r="K17" i="2"/>
  <c r="K36" i="2"/>
  <c r="F17" i="3"/>
  <c r="K8" i="4"/>
  <c r="K18" i="4"/>
  <c r="F25" i="4"/>
  <c r="K26" i="4"/>
  <c r="K28" i="4"/>
  <c r="F7" i="5"/>
  <c r="K10" i="5"/>
  <c r="F14" i="5"/>
  <c r="F6" i="6"/>
  <c r="F15" i="6"/>
  <c r="K15" i="2"/>
  <c r="F10" i="3"/>
  <c r="K24" i="3"/>
  <c r="F31" i="3"/>
  <c r="F36" i="3"/>
  <c r="F21" i="4"/>
  <c r="F37" i="4"/>
  <c r="F17" i="5"/>
  <c r="F8" i="2"/>
  <c r="K40" i="2"/>
  <c r="K26" i="3"/>
  <c r="F33" i="3"/>
  <c r="F11" i="4"/>
  <c r="K9" i="2"/>
  <c r="K34" i="3"/>
  <c r="F41" i="4"/>
  <c r="F13" i="2"/>
  <c r="F21" i="2"/>
  <c r="K28" i="2"/>
  <c r="F30" i="2"/>
  <c r="F32" i="2"/>
  <c r="K15" i="3"/>
  <c r="K28" i="3"/>
  <c r="F32" i="3"/>
  <c r="F7" i="4"/>
  <c r="K19" i="5"/>
  <c r="K32" i="5"/>
  <c r="K34" i="5"/>
  <c r="F24" i="6"/>
  <c r="G39" i="6" l="1"/>
  <c r="S39" i="7" s="1"/>
  <c r="L22" i="4"/>
  <c r="M22" i="7" s="1"/>
  <c r="L8" i="6"/>
  <c r="U8" i="7" s="1"/>
  <c r="G11" i="3"/>
  <c r="G11" i="7" s="1"/>
  <c r="L11" i="6"/>
  <c r="U11" i="7" s="1"/>
  <c r="L33" i="2"/>
  <c r="E33" i="7" s="1"/>
  <c r="G34" i="4"/>
  <c r="K34" i="7" s="1"/>
  <c r="L23" i="6"/>
  <c r="U23" i="7" s="1"/>
  <c r="T23" i="7"/>
  <c r="D39" i="7"/>
  <c r="L39" i="2"/>
  <c r="E39" i="7" s="1"/>
  <c r="L14" i="2"/>
  <c r="E14" i="7" s="1"/>
  <c r="D14" i="7"/>
  <c r="T20" i="7"/>
  <c r="L20" i="6"/>
  <c r="U20" i="7" s="1"/>
  <c r="L31" i="2"/>
  <c r="E31" i="7" s="1"/>
  <c r="D31" i="7"/>
  <c r="D12" i="7"/>
  <c r="L12" i="2"/>
  <c r="E12" i="7" s="1"/>
  <c r="L5" i="2"/>
  <c r="E5" i="7" s="1"/>
  <c r="L5" i="6"/>
  <c r="U5" i="7" s="1"/>
  <c r="F31" i="7"/>
  <c r="G31" i="3"/>
  <c r="G31" i="7" s="1"/>
  <c r="L19" i="7"/>
  <c r="L19" i="4"/>
  <c r="M19" i="7" s="1"/>
  <c r="F41" i="7"/>
  <c r="G41" i="3"/>
  <c r="G41" i="7" s="1"/>
  <c r="D38" i="7"/>
  <c r="L38" i="2"/>
  <c r="E38" i="7" s="1"/>
  <c r="P5" i="7"/>
  <c r="L5" i="5"/>
  <c r="Q5" i="7" s="1"/>
  <c r="P17" i="7"/>
  <c r="L17" i="5"/>
  <c r="Q17" i="7" s="1"/>
  <c r="P21" i="7"/>
  <c r="L21" i="5"/>
  <c r="Q21" i="7" s="1"/>
  <c r="R37" i="7"/>
  <c r="G37" i="6"/>
  <c r="S37" i="7" s="1"/>
  <c r="G20" i="6"/>
  <c r="S20" i="7" s="1"/>
  <c r="R20" i="7"/>
  <c r="P19" i="7"/>
  <c r="L19" i="5"/>
  <c r="Q19" i="7" s="1"/>
  <c r="L26" i="4"/>
  <c r="M26" i="7" s="1"/>
  <c r="L26" i="7"/>
  <c r="H21" i="7"/>
  <c r="L21" i="3"/>
  <c r="I21" i="7" s="1"/>
  <c r="G29" i="2"/>
  <c r="C29" i="7" s="1"/>
  <c r="B29" i="7"/>
  <c r="H5" i="7"/>
  <c r="L5" i="3"/>
  <c r="I5" i="7" s="1"/>
  <c r="B40" i="7"/>
  <c r="G40" i="2"/>
  <c r="C40" i="7" s="1"/>
  <c r="L35" i="7"/>
  <c r="L35" i="4"/>
  <c r="M35" i="7" s="1"/>
  <c r="L36" i="5"/>
  <c r="Q36" i="7" s="1"/>
  <c r="P36" i="7"/>
  <c r="B37" i="7"/>
  <c r="G37" i="2"/>
  <c r="C37" i="7" s="1"/>
  <c r="R29" i="7"/>
  <c r="G29" i="6"/>
  <c r="S29" i="7" s="1"/>
  <c r="L35" i="3"/>
  <c r="I35" i="7" s="1"/>
  <c r="L20" i="3"/>
  <c r="I20" i="7" s="1"/>
  <c r="F10" i="7"/>
  <c r="G10" i="3"/>
  <c r="G10" i="7" s="1"/>
  <c r="G12" i="3"/>
  <c r="G12" i="7" s="1"/>
  <c r="F12" i="7"/>
  <c r="L16" i="7"/>
  <c r="L16" i="4"/>
  <c r="M16" i="7" s="1"/>
  <c r="L28" i="5"/>
  <c r="Q28" i="7" s="1"/>
  <c r="P28" i="7"/>
  <c r="P25" i="7"/>
  <c r="L25" i="5"/>
  <c r="Q25" i="7" s="1"/>
  <c r="R12" i="7"/>
  <c r="G12" i="6"/>
  <c r="S12" i="7" s="1"/>
  <c r="T27" i="7"/>
  <c r="L27" i="6"/>
  <c r="U27" i="7" s="1"/>
  <c r="P11" i="7"/>
  <c r="L11" i="5"/>
  <c r="Q11" i="7" s="1"/>
  <c r="F33" i="7"/>
  <c r="G33" i="3"/>
  <c r="G33" i="7" s="1"/>
  <c r="R17" i="7"/>
  <c r="G17" i="6"/>
  <c r="S17" i="7" s="1"/>
  <c r="D29" i="7"/>
  <c r="L29" i="2"/>
  <c r="E29" i="7" s="1"/>
  <c r="G42" i="4"/>
  <c r="K42" i="7" s="1"/>
  <c r="J42" i="7"/>
  <c r="L24" i="6"/>
  <c r="U24" i="7" s="1"/>
  <c r="T24" i="7"/>
  <c r="N28" i="7"/>
  <c r="G28" i="5"/>
  <c r="O28" i="7" s="1"/>
  <c r="G19" i="6"/>
  <c r="S19" i="7" s="1"/>
  <c r="R19" i="7"/>
  <c r="R34" i="7"/>
  <c r="G34" i="6"/>
  <c r="S34" i="7" s="1"/>
  <c r="F16" i="7"/>
  <c r="G16" i="3"/>
  <c r="G16" i="7" s="1"/>
  <c r="L29" i="5"/>
  <c r="Q29" i="7" s="1"/>
  <c r="H26" i="7"/>
  <c r="L26" i="3"/>
  <c r="I26" i="7" s="1"/>
  <c r="L33" i="4"/>
  <c r="M33" i="7" s="1"/>
  <c r="L33" i="7"/>
  <c r="D7" i="1"/>
  <c r="G7" i="1" s="1"/>
  <c r="L9" i="7"/>
  <c r="L9" i="4"/>
  <c r="N38" i="7"/>
  <c r="G38" i="5"/>
  <c r="O38" i="7" s="1"/>
  <c r="G16" i="6"/>
  <c r="S16" i="7" s="1"/>
  <c r="R16" i="7"/>
  <c r="P22" i="7"/>
  <c r="L22" i="5"/>
  <c r="Q22" i="7" s="1"/>
  <c r="G20" i="4"/>
  <c r="K20" i="7" s="1"/>
  <c r="J20" i="7"/>
  <c r="G38" i="6"/>
  <c r="S38" i="7" s="1"/>
  <c r="R38" i="7"/>
  <c r="H16" i="7"/>
  <c r="L16" i="3"/>
  <c r="I16" i="7" s="1"/>
  <c r="G27" i="3"/>
  <c r="G27" i="7" s="1"/>
  <c r="H15" i="7"/>
  <c r="L15" i="3"/>
  <c r="I15" i="7" s="1"/>
  <c r="F17" i="7"/>
  <c r="G17" i="3"/>
  <c r="G17" i="7" s="1"/>
  <c r="D34" i="7"/>
  <c r="L34" i="2"/>
  <c r="E34" i="7" s="1"/>
  <c r="F15" i="7"/>
  <c r="G15" i="3"/>
  <c r="G15" i="7" s="1"/>
  <c r="L27" i="3"/>
  <c r="I27" i="7" s="1"/>
  <c r="H27" i="7"/>
  <c r="H22" i="7"/>
  <c r="L22" i="3"/>
  <c r="I22" i="7" s="1"/>
  <c r="P33" i="7"/>
  <c r="L33" i="5"/>
  <c r="Q33" i="7" s="1"/>
  <c r="R40" i="7"/>
  <c r="G40" i="6"/>
  <c r="S40" i="7" s="1"/>
  <c r="G42" i="6"/>
  <c r="S42" i="7" s="1"/>
  <c r="N8" i="7"/>
  <c r="G8" i="5"/>
  <c r="O8" i="7" s="1"/>
  <c r="B9" i="7"/>
  <c r="B5" i="1"/>
  <c r="G9" i="2"/>
  <c r="L25" i="4"/>
  <c r="M25" i="7" s="1"/>
  <c r="H29" i="7"/>
  <c r="L29" i="3"/>
  <c r="I29" i="7" s="1"/>
  <c r="B42" i="7"/>
  <c r="G42" i="2"/>
  <c r="C42" i="7" s="1"/>
  <c r="G8" i="6"/>
  <c r="S8" i="7" s="1"/>
  <c r="R8" i="7"/>
  <c r="L32" i="2"/>
  <c r="E32" i="7" s="1"/>
  <c r="D32" i="7"/>
  <c r="N37" i="7"/>
  <c r="G37" i="5"/>
  <c r="O37" i="7" s="1"/>
  <c r="J32" i="7"/>
  <c r="G32" i="4"/>
  <c r="K32" i="7" s="1"/>
  <c r="J40" i="7"/>
  <c r="G40" i="4"/>
  <c r="K40" i="7" s="1"/>
  <c r="B7" i="7"/>
  <c r="G7" i="2"/>
  <c r="C7" i="7" s="1"/>
  <c r="L30" i="3"/>
  <c r="I30" i="7" s="1"/>
  <c r="L38" i="3"/>
  <c r="I38" i="7" s="1"/>
  <c r="G27" i="6"/>
  <c r="S27" i="7" s="1"/>
  <c r="F23" i="7"/>
  <c r="G23" i="3"/>
  <c r="G23" i="7" s="1"/>
  <c r="G19" i="2"/>
  <c r="C19" i="7" s="1"/>
  <c r="B19" i="7"/>
  <c r="H23" i="7"/>
  <c r="L23" i="3"/>
  <c r="I23" i="7" s="1"/>
  <c r="G14" i="6"/>
  <c r="S14" i="7" s="1"/>
  <c r="R14" i="7"/>
  <c r="L7" i="7"/>
  <c r="L7" i="4"/>
  <c r="M7" i="7" s="1"/>
  <c r="D25" i="7"/>
  <c r="L25" i="2"/>
  <c r="E25" i="7" s="1"/>
  <c r="T14" i="7"/>
  <c r="L14" i="6"/>
  <c r="U14" i="7" s="1"/>
  <c r="L17" i="6"/>
  <c r="U17" i="7" s="1"/>
  <c r="T17" i="7"/>
  <c r="L38" i="7"/>
  <c r="L38" i="4"/>
  <c r="M38" i="7" s="1"/>
  <c r="R33" i="7"/>
  <c r="G33" i="6"/>
  <c r="S33" i="7" s="1"/>
  <c r="H19" i="7"/>
  <c r="L19" i="3"/>
  <c r="I19" i="7" s="1"/>
  <c r="L11" i="2"/>
  <c r="E11" i="7" s="1"/>
  <c r="D28" i="7"/>
  <c r="L28" i="2"/>
  <c r="E28" i="7" s="1"/>
  <c r="R6" i="7"/>
  <c r="G6" i="6"/>
  <c r="S6" i="7" s="1"/>
  <c r="H10" i="7"/>
  <c r="L10" i="3"/>
  <c r="I10" i="7" s="1"/>
  <c r="P26" i="7"/>
  <c r="L26" i="5"/>
  <c r="Q26" i="7" s="1"/>
  <c r="N30" i="7"/>
  <c r="G30" i="5"/>
  <c r="O30" i="7" s="1"/>
  <c r="T26" i="7"/>
  <c r="L26" i="6"/>
  <c r="U26" i="7" s="1"/>
  <c r="G10" i="4"/>
  <c r="K10" i="7" s="1"/>
  <c r="J10" i="7"/>
  <c r="B10" i="7"/>
  <c r="G10" i="2"/>
  <c r="C10" i="7" s="1"/>
  <c r="R30" i="7"/>
  <c r="G30" i="6"/>
  <c r="S30" i="7" s="1"/>
  <c r="P6" i="7"/>
  <c r="L6" i="5"/>
  <c r="Q6" i="7" s="1"/>
  <c r="L35" i="5"/>
  <c r="Q35" i="7" s="1"/>
  <c r="L30" i="6"/>
  <c r="U30" i="7" s="1"/>
  <c r="F18" i="7"/>
  <c r="G18" i="3"/>
  <c r="G18" i="7" s="1"/>
  <c r="L32" i="4"/>
  <c r="M32" i="7" s="1"/>
  <c r="L25" i="6"/>
  <c r="U25" i="7" s="1"/>
  <c r="T25" i="7"/>
  <c r="B6" i="7"/>
  <c r="G6" i="2"/>
  <c r="C6" i="7" s="1"/>
  <c r="R36" i="7"/>
  <c r="G36" i="6"/>
  <c r="S36" i="7" s="1"/>
  <c r="F35" i="7"/>
  <c r="G35" i="3"/>
  <c r="G35" i="7" s="1"/>
  <c r="B16" i="7"/>
  <c r="G16" i="2"/>
  <c r="C16" i="7" s="1"/>
  <c r="T42" i="7"/>
  <c r="L42" i="6"/>
  <c r="U42" i="7" s="1"/>
  <c r="G35" i="6"/>
  <c r="S35" i="7" s="1"/>
  <c r="R35" i="7"/>
  <c r="N5" i="7"/>
  <c r="G5" i="5"/>
  <c r="O5" i="7" s="1"/>
  <c r="L12" i="5"/>
  <c r="Q12" i="7" s="1"/>
  <c r="P12" i="7"/>
  <c r="G27" i="5"/>
  <c r="O27" i="7" s="1"/>
  <c r="N27" i="7"/>
  <c r="L40" i="6"/>
  <c r="U40" i="7" s="1"/>
  <c r="T40" i="7"/>
  <c r="G29" i="3"/>
  <c r="G29" i="7" s="1"/>
  <c r="G37" i="3"/>
  <c r="G37" i="7" s="1"/>
  <c r="J24" i="7"/>
  <c r="G24" i="4"/>
  <c r="K24" i="7" s="1"/>
  <c r="G29" i="5"/>
  <c r="O29" i="7" s="1"/>
  <c r="L27" i="2"/>
  <c r="E27" i="7" s="1"/>
  <c r="L22" i="2"/>
  <c r="E22" i="7" s="1"/>
  <c r="P32" i="7"/>
  <c r="L32" i="5"/>
  <c r="Q32" i="7" s="1"/>
  <c r="L11" i="7"/>
  <c r="L11" i="4"/>
  <c r="M11" i="7" s="1"/>
  <c r="D23" i="7"/>
  <c r="L23" i="2"/>
  <c r="E23" i="7" s="1"/>
  <c r="J18" i="7"/>
  <c r="G18" i="4"/>
  <c r="K18" i="7" s="1"/>
  <c r="N16" i="7"/>
  <c r="G16" i="5"/>
  <c r="O16" i="7" s="1"/>
  <c r="N12" i="7"/>
  <c r="G12" i="5"/>
  <c r="O12" i="7" s="1"/>
  <c r="L29" i="4"/>
  <c r="M29" i="7" s="1"/>
  <c r="L29" i="7"/>
  <c r="L30" i="5"/>
  <c r="Q30" i="7" s="1"/>
  <c r="P30" i="7"/>
  <c r="J27" i="7"/>
  <c r="G27" i="4"/>
  <c r="K27" i="7" s="1"/>
  <c r="L13" i="4"/>
  <c r="M13" i="7" s="1"/>
  <c r="H24" i="7"/>
  <c r="L24" i="3"/>
  <c r="I24" i="7" s="1"/>
  <c r="L6" i="4"/>
  <c r="M6" i="7" s="1"/>
  <c r="L6" i="7"/>
  <c r="F26" i="7"/>
  <c r="G26" i="3"/>
  <c r="G26" i="7" s="1"/>
  <c r="H32" i="7"/>
  <c r="L32" i="3"/>
  <c r="I32" i="7" s="1"/>
  <c r="N22" i="7"/>
  <c r="G22" i="5"/>
  <c r="O22" i="7" s="1"/>
  <c r="N20" i="7"/>
  <c r="G20" i="5"/>
  <c r="O20" i="7" s="1"/>
  <c r="N42" i="7"/>
  <c r="G42" i="5"/>
  <c r="O42" i="7" s="1"/>
  <c r="T21" i="7"/>
  <c r="L21" i="6"/>
  <c r="U21" i="7" s="1"/>
  <c r="F5" i="7"/>
  <c r="G5" i="3"/>
  <c r="G5" i="7" s="1"/>
  <c r="G42" i="3"/>
  <c r="G42" i="7" s="1"/>
  <c r="N40" i="7"/>
  <c r="G40" i="5"/>
  <c r="O40" i="7" s="1"/>
  <c r="J11" i="7"/>
  <c r="G11" i="4"/>
  <c r="K11" i="7" s="1"/>
  <c r="J25" i="7"/>
  <c r="G25" i="4"/>
  <c r="K25" i="7" s="1"/>
  <c r="B35" i="7"/>
  <c r="G35" i="2"/>
  <c r="C35" i="7" s="1"/>
  <c r="H11" i="7"/>
  <c r="L11" i="3"/>
  <c r="I11" i="7" s="1"/>
  <c r="F8" i="7"/>
  <c r="G8" i="3"/>
  <c r="G8" i="7" s="1"/>
  <c r="L7" i="5"/>
  <c r="Q7" i="7" s="1"/>
  <c r="P7" i="7"/>
  <c r="L42" i="5"/>
  <c r="Q42" i="7" s="1"/>
  <c r="P42" i="7"/>
  <c r="B12" i="7"/>
  <c r="G12" i="2"/>
  <c r="C12" i="7" s="1"/>
  <c r="G26" i="6"/>
  <c r="S26" i="7" s="1"/>
  <c r="R26" i="7"/>
  <c r="G15" i="2"/>
  <c r="C15" i="7" s="1"/>
  <c r="F32" i="7"/>
  <c r="G32" i="3"/>
  <c r="G32" i="7" s="1"/>
  <c r="L18" i="7"/>
  <c r="L18" i="4"/>
  <c r="M18" i="7" s="1"/>
  <c r="J28" i="7"/>
  <c r="G28" i="4"/>
  <c r="K28" i="7" s="1"/>
  <c r="P14" i="7"/>
  <c r="L14" i="5"/>
  <c r="Q14" i="7" s="1"/>
  <c r="T12" i="7"/>
  <c r="L12" i="6"/>
  <c r="U12" i="7" s="1"/>
  <c r="N18" i="7"/>
  <c r="G18" i="5"/>
  <c r="O18" i="7" s="1"/>
  <c r="J14" i="7"/>
  <c r="G14" i="4"/>
  <c r="K14" i="7" s="1"/>
  <c r="T33" i="7"/>
  <c r="L33" i="6"/>
  <c r="U33" i="7" s="1"/>
  <c r="J19" i="7"/>
  <c r="G19" i="4"/>
  <c r="K19" i="7" s="1"/>
  <c r="R9" i="7"/>
  <c r="G9" i="6"/>
  <c r="B9" i="1"/>
  <c r="D8" i="7"/>
  <c r="L8" i="2"/>
  <c r="E8" i="7" s="1"/>
  <c r="L20" i="5"/>
  <c r="Q20" i="7" s="1"/>
  <c r="P20" i="7"/>
  <c r="T37" i="7"/>
  <c r="L37" i="6"/>
  <c r="U37" i="7" s="1"/>
  <c r="N31" i="7"/>
  <c r="G31" i="5"/>
  <c r="O31" i="7" s="1"/>
  <c r="T38" i="7"/>
  <c r="L38" i="6"/>
  <c r="U38" i="7" s="1"/>
  <c r="T39" i="7"/>
  <c r="L39" i="6"/>
  <c r="U39" i="7" s="1"/>
  <c r="P27" i="7"/>
  <c r="L27" i="5"/>
  <c r="Q27" i="7" s="1"/>
  <c r="G19" i="3"/>
  <c r="G19" i="7" s="1"/>
  <c r="L33" i="3"/>
  <c r="I33" i="7" s="1"/>
  <c r="D40" i="7"/>
  <c r="L40" i="2"/>
  <c r="E40" i="7" s="1"/>
  <c r="J13" i="7"/>
  <c r="G13" i="4"/>
  <c r="K13" i="7" s="1"/>
  <c r="L13" i="3"/>
  <c r="I13" i="7" s="1"/>
  <c r="H13" i="7"/>
  <c r="P39" i="7"/>
  <c r="L39" i="5"/>
  <c r="Q39" i="7" s="1"/>
  <c r="T19" i="7"/>
  <c r="L19" i="6"/>
  <c r="U19" i="7" s="1"/>
  <c r="N32" i="7"/>
  <c r="G32" i="5"/>
  <c r="O32" i="7" s="1"/>
  <c r="J26" i="7"/>
  <c r="G26" i="4"/>
  <c r="K26" i="7" s="1"/>
  <c r="L16" i="6"/>
  <c r="U16" i="7" s="1"/>
  <c r="T16" i="7"/>
  <c r="R23" i="7"/>
  <c r="G23" i="6"/>
  <c r="S23" i="7" s="1"/>
  <c r="G31" i="2"/>
  <c r="C31" i="7" s="1"/>
  <c r="B31" i="7"/>
  <c r="B32" i="7"/>
  <c r="G32" i="2"/>
  <c r="C32" i="7" s="1"/>
  <c r="N36" i="7"/>
  <c r="G36" i="5"/>
  <c r="O36" i="7" s="1"/>
  <c r="H18" i="7"/>
  <c r="L18" i="3"/>
  <c r="I18" i="7" s="1"/>
  <c r="G28" i="6"/>
  <c r="S28" i="7" s="1"/>
  <c r="R28" i="7"/>
  <c r="D19" i="7"/>
  <c r="L19" i="2"/>
  <c r="E19" i="7" s="1"/>
  <c r="L41" i="6"/>
  <c r="U41" i="7" s="1"/>
  <c r="T41" i="7"/>
  <c r="T22" i="7"/>
  <c r="L22" i="6"/>
  <c r="U22" i="7" s="1"/>
  <c r="B30" i="7"/>
  <c r="G30" i="2"/>
  <c r="C30" i="7" s="1"/>
  <c r="D36" i="7"/>
  <c r="L36" i="2"/>
  <c r="E36" i="7" s="1"/>
  <c r="N25" i="7"/>
  <c r="G25" i="5"/>
  <c r="O25" i="7" s="1"/>
  <c r="B33" i="7"/>
  <c r="G33" i="2"/>
  <c r="C33" i="7" s="1"/>
  <c r="G30" i="3"/>
  <c r="G30" i="7" s="1"/>
  <c r="F30" i="7"/>
  <c r="G5" i="2"/>
  <c r="C5" i="7" s="1"/>
  <c r="B5" i="7"/>
  <c r="H6" i="7"/>
  <c r="L6" i="3"/>
  <c r="I6" i="7" s="1"/>
  <c r="F38" i="7"/>
  <c r="G38" i="3"/>
  <c r="G38" i="7" s="1"/>
  <c r="G22" i="6"/>
  <c r="S22" i="7" s="1"/>
  <c r="R22" i="7"/>
  <c r="J38" i="7"/>
  <c r="G38" i="4"/>
  <c r="K38" i="7" s="1"/>
  <c r="L28" i="6"/>
  <c r="U28" i="7" s="1"/>
  <c r="T28" i="7"/>
  <c r="R10" i="7"/>
  <c r="G10" i="6"/>
  <c r="S10" i="7" s="1"/>
  <c r="N26" i="7"/>
  <c r="G26" i="5"/>
  <c r="O26" i="7" s="1"/>
  <c r="L31" i="6"/>
  <c r="U31" i="7" s="1"/>
  <c r="T31" i="7"/>
  <c r="N21" i="7"/>
  <c r="G21" i="5"/>
  <c r="O21" i="7" s="1"/>
  <c r="G11" i="5"/>
  <c r="O11" i="7" s="1"/>
  <c r="N11" i="7"/>
  <c r="N13" i="7"/>
  <c r="G13" i="5"/>
  <c r="O13" i="7" s="1"/>
  <c r="L5" i="4"/>
  <c r="M5" i="7" s="1"/>
  <c r="G37" i="4"/>
  <c r="K37" i="7" s="1"/>
  <c r="J37" i="7"/>
  <c r="G6" i="3"/>
  <c r="G6" i="7" s="1"/>
  <c r="F6" i="7"/>
  <c r="J23" i="7"/>
  <c r="G23" i="4"/>
  <c r="K23" i="7" s="1"/>
  <c r="G39" i="3"/>
  <c r="G39" i="7" s="1"/>
  <c r="F39" i="7"/>
  <c r="G22" i="4"/>
  <c r="K22" i="7" s="1"/>
  <c r="J22" i="7"/>
  <c r="G32" i="6"/>
  <c r="S32" i="7" s="1"/>
  <c r="R32" i="7"/>
  <c r="B13" i="7"/>
  <c r="G13" i="2"/>
  <c r="C13" i="7" s="1"/>
  <c r="L10" i="5"/>
  <c r="Q10" i="7" s="1"/>
  <c r="P10" i="7"/>
  <c r="J35" i="7"/>
  <c r="G35" i="4"/>
  <c r="K35" i="7" s="1"/>
  <c r="L14" i="4"/>
  <c r="M14" i="7" s="1"/>
  <c r="L14" i="7"/>
  <c r="R21" i="7"/>
  <c r="G21" i="6"/>
  <c r="S21" i="7" s="1"/>
  <c r="D13" i="7"/>
  <c r="L13" i="2"/>
  <c r="E13" i="7" s="1"/>
  <c r="H41" i="7"/>
  <c r="L41" i="3"/>
  <c r="I41" i="7" s="1"/>
  <c r="B22" i="7"/>
  <c r="G22" i="2"/>
  <c r="C22" i="7" s="1"/>
  <c r="L30" i="4"/>
  <c r="M30" i="7" s="1"/>
  <c r="L30" i="7"/>
  <c r="J33" i="7"/>
  <c r="G33" i="4"/>
  <c r="K33" i="7" s="1"/>
  <c r="L17" i="4"/>
  <c r="M17" i="7" s="1"/>
  <c r="L17" i="7"/>
  <c r="F22" i="7"/>
  <c r="G22" i="3"/>
  <c r="G22" i="7" s="1"/>
  <c r="N10" i="7"/>
  <c r="G10" i="5"/>
  <c r="O10" i="7" s="1"/>
  <c r="P18" i="7"/>
  <c r="L18" i="5"/>
  <c r="Q18" i="7" s="1"/>
  <c r="N33" i="7"/>
  <c r="G33" i="5"/>
  <c r="O33" i="7" s="1"/>
  <c r="R25" i="7"/>
  <c r="G25" i="6"/>
  <c r="S25" i="7" s="1"/>
  <c r="D21" i="7"/>
  <c r="L21" i="2"/>
  <c r="E21" i="7" s="1"/>
  <c r="D18" i="7"/>
  <c r="L18" i="2"/>
  <c r="E18" i="7" s="1"/>
  <c r="J31" i="7"/>
  <c r="G31" i="4"/>
  <c r="K31" i="7" s="1"/>
  <c r="L36" i="4"/>
  <c r="M36" i="7" s="1"/>
  <c r="G24" i="2"/>
  <c r="C24" i="7" s="1"/>
  <c r="P31" i="7"/>
  <c r="L31" i="5"/>
  <c r="Q31" i="7" s="1"/>
  <c r="H34" i="7"/>
  <c r="L34" i="3"/>
  <c r="I34" i="7" s="1"/>
  <c r="L28" i="7"/>
  <c r="L28" i="4"/>
  <c r="M28" i="7" s="1"/>
  <c r="L21" i="7"/>
  <c r="L21" i="4"/>
  <c r="M21" i="7" s="1"/>
  <c r="G17" i="2"/>
  <c r="C17" i="7" s="1"/>
  <c r="B17" i="7"/>
  <c r="D37" i="7"/>
  <c r="L37" i="2"/>
  <c r="E37" i="7" s="1"/>
  <c r="B34" i="7"/>
  <c r="G34" i="2"/>
  <c r="C34" i="7" s="1"/>
  <c r="F34" i="7"/>
  <c r="G34" i="3"/>
  <c r="G34" i="7" s="1"/>
  <c r="R7" i="7"/>
  <c r="G7" i="6"/>
  <c r="S7" i="7" s="1"/>
  <c r="G13" i="3"/>
  <c r="G13" i="7" s="1"/>
  <c r="D5" i="1"/>
  <c r="D9" i="7"/>
  <c r="L9" i="2"/>
  <c r="L39" i="3"/>
  <c r="I39" i="7" s="1"/>
  <c r="H39" i="7"/>
  <c r="L6" i="2"/>
  <c r="E6" i="7" s="1"/>
  <c r="D6" i="7"/>
  <c r="L20" i="4"/>
  <c r="M20" i="7" s="1"/>
  <c r="L20" i="7"/>
  <c r="P41" i="7"/>
  <c r="L41" i="5"/>
  <c r="Q41" i="7" s="1"/>
  <c r="P13" i="7"/>
  <c r="L13" i="5"/>
  <c r="Q13" i="7" s="1"/>
  <c r="F40" i="7"/>
  <c r="G40" i="3"/>
  <c r="G40" i="7" s="1"/>
  <c r="R13" i="7"/>
  <c r="G13" i="6"/>
  <c r="S13" i="7" s="1"/>
  <c r="G7" i="3"/>
  <c r="G7" i="7" s="1"/>
  <c r="F7" i="7"/>
  <c r="B20" i="7"/>
  <c r="G20" i="2"/>
  <c r="C20" i="7" s="1"/>
  <c r="L38" i="5"/>
  <c r="Q38" i="7" s="1"/>
  <c r="J7" i="7"/>
  <c r="G7" i="4"/>
  <c r="K7" i="7" s="1"/>
  <c r="D42" i="7"/>
  <c r="L42" i="2"/>
  <c r="E42" i="7" s="1"/>
  <c r="P37" i="7"/>
  <c r="L37" i="5"/>
  <c r="Q37" i="7" s="1"/>
  <c r="L37" i="7"/>
  <c r="L37" i="4"/>
  <c r="M37" i="7" s="1"/>
  <c r="R5" i="7"/>
  <c r="G5" i="6"/>
  <c r="S5" i="7" s="1"/>
  <c r="P16" i="7"/>
  <c r="L16" i="5"/>
  <c r="Q16" i="7" s="1"/>
  <c r="J8" i="7"/>
  <c r="G8" i="4"/>
  <c r="K8" i="7" s="1"/>
  <c r="T32" i="7"/>
  <c r="L32" i="6"/>
  <c r="U32" i="7" s="1"/>
  <c r="B18" i="7"/>
  <c r="G18" i="2"/>
  <c r="C18" i="7" s="1"/>
  <c r="L42" i="4"/>
  <c r="M42" i="7" s="1"/>
  <c r="L10" i="4"/>
  <c r="M10" i="7" s="1"/>
  <c r="L9" i="5"/>
  <c r="D15" i="7"/>
  <c r="L15" i="2"/>
  <c r="E15" i="7" s="1"/>
  <c r="L8" i="5"/>
  <c r="Q8" i="7" s="1"/>
  <c r="P8" i="7"/>
  <c r="B38" i="7"/>
  <c r="G38" i="2"/>
  <c r="C38" i="7" s="1"/>
  <c r="G41" i="2"/>
  <c r="C41" i="7" s="1"/>
  <c r="B41" i="7"/>
  <c r="H17" i="7"/>
  <c r="L17" i="3"/>
  <c r="I17" i="7" s="1"/>
  <c r="F14" i="7"/>
  <c r="G14" i="3"/>
  <c r="G14" i="7" s="1"/>
  <c r="G15" i="5"/>
  <c r="O15" i="7" s="1"/>
  <c r="N15" i="7"/>
  <c r="T10" i="7"/>
  <c r="L10" i="6"/>
  <c r="U10" i="7" s="1"/>
  <c r="L24" i="2"/>
  <c r="E24" i="7" s="1"/>
  <c r="H42" i="7"/>
  <c r="L42" i="3"/>
  <c r="I42" i="7" s="1"/>
  <c r="L28" i="3"/>
  <c r="I28" i="7" s="1"/>
  <c r="H28" i="7"/>
  <c r="L8" i="7"/>
  <c r="L8" i="4"/>
  <c r="M8" i="7" s="1"/>
  <c r="B36" i="7"/>
  <c r="G36" i="2"/>
  <c r="C36" i="7" s="1"/>
  <c r="F9" i="7"/>
  <c r="G9" i="3"/>
  <c r="B6" i="1"/>
  <c r="G6" i="1" s="1"/>
  <c r="F25" i="7"/>
  <c r="G25" i="3"/>
  <c r="G25" i="7" s="1"/>
  <c r="G20" i="3"/>
  <c r="G20" i="7" s="1"/>
  <c r="F20" i="7"/>
  <c r="G35" i="5"/>
  <c r="O35" i="7" s="1"/>
  <c r="N35" i="7"/>
  <c r="L15" i="6"/>
  <c r="U15" i="7" s="1"/>
  <c r="T15" i="7"/>
  <c r="H14" i="7"/>
  <c r="L14" i="3"/>
  <c r="I14" i="7" s="1"/>
  <c r="L37" i="3"/>
  <c r="I37" i="7" s="1"/>
  <c r="H37" i="7"/>
  <c r="L9" i="3"/>
  <c r="G24" i="5"/>
  <c r="O24" i="7" s="1"/>
  <c r="L7" i="6"/>
  <c r="U7" i="7" s="1"/>
  <c r="T7" i="7"/>
  <c r="D20" i="7"/>
  <c r="L20" i="2"/>
  <c r="E20" i="7" s="1"/>
  <c r="T9" i="7"/>
  <c r="L9" i="6"/>
  <c r="D9" i="1"/>
  <c r="G23" i="2"/>
  <c r="C23" i="7" s="1"/>
  <c r="B23" i="7"/>
  <c r="L40" i="5"/>
  <c r="Q40" i="7" s="1"/>
  <c r="P40" i="7"/>
  <c r="R18" i="7"/>
  <c r="G18" i="6"/>
  <c r="S18" i="7" s="1"/>
  <c r="B26" i="7"/>
  <c r="G26" i="2"/>
  <c r="C26" i="7" s="1"/>
  <c r="F24" i="7"/>
  <c r="G24" i="3"/>
  <c r="G24" i="7" s="1"/>
  <c r="G36" i="4"/>
  <c r="K36" i="7" s="1"/>
  <c r="L35" i="2"/>
  <c r="E35" i="7" s="1"/>
  <c r="B8" i="7"/>
  <c r="G8" i="2"/>
  <c r="C8" i="7" s="1"/>
  <c r="B27" i="7"/>
  <c r="G27" i="2"/>
  <c r="C27" i="7" s="1"/>
  <c r="F21" i="7"/>
  <c r="G21" i="3"/>
  <c r="G21" i="7" s="1"/>
  <c r="G5" i="4"/>
  <c r="K5" i="7" s="1"/>
  <c r="J5" i="7"/>
  <c r="L31" i="3"/>
  <c r="I31" i="7" s="1"/>
  <c r="H31" i="7"/>
  <c r="T6" i="7"/>
  <c r="L6" i="6"/>
  <c r="U6" i="7" s="1"/>
  <c r="L29" i="6"/>
  <c r="U29" i="7" s="1"/>
  <c r="T29" i="7"/>
  <c r="G17" i="4"/>
  <c r="K17" i="7" s="1"/>
  <c r="R15" i="7"/>
  <c r="G15" i="6"/>
  <c r="S15" i="7" s="1"/>
  <c r="L36" i="6"/>
  <c r="U36" i="7" s="1"/>
  <c r="T36" i="7"/>
  <c r="G6" i="4"/>
  <c r="K6" i="7" s="1"/>
  <c r="J6" i="7"/>
  <c r="D10" i="7"/>
  <c r="L10" i="2"/>
  <c r="E10" i="7" s="1"/>
  <c r="L13" i="6"/>
  <c r="U13" i="7" s="1"/>
  <c r="N17" i="7"/>
  <c r="G17" i="5"/>
  <c r="O17" i="7" s="1"/>
  <c r="D17" i="7"/>
  <c r="L17" i="2"/>
  <c r="E17" i="7" s="1"/>
  <c r="N23" i="7"/>
  <c r="G23" i="5"/>
  <c r="O23" i="7" s="1"/>
  <c r="G25" i="2"/>
  <c r="C25" i="7" s="1"/>
  <c r="B25" i="7"/>
  <c r="L36" i="3"/>
  <c r="I36" i="7" s="1"/>
  <c r="H36" i="7"/>
  <c r="G11" i="2"/>
  <c r="C11" i="7" s="1"/>
  <c r="B11" i="7"/>
  <c r="L12" i="3"/>
  <c r="I12" i="7" s="1"/>
  <c r="H12" i="7"/>
  <c r="H40" i="7"/>
  <c r="L40" i="3"/>
  <c r="I40" i="7" s="1"/>
  <c r="L40" i="7"/>
  <c r="L40" i="4"/>
  <c r="M40" i="7" s="1"/>
  <c r="T34" i="7"/>
  <c r="L34" i="6"/>
  <c r="U34" i="7" s="1"/>
  <c r="N6" i="7"/>
  <c r="G6" i="5"/>
  <c r="O6" i="7" s="1"/>
  <c r="L41" i="2"/>
  <c r="E41" i="7" s="1"/>
  <c r="B21" i="7"/>
  <c r="G21" i="2"/>
  <c r="C21" i="7" s="1"/>
  <c r="N14" i="7"/>
  <c r="G14" i="5"/>
  <c r="O14" i="7" s="1"/>
  <c r="L15" i="5"/>
  <c r="Q15" i="7" s="1"/>
  <c r="P15" i="7"/>
  <c r="G11" i="6"/>
  <c r="S11" i="7" s="1"/>
  <c r="R11" i="7"/>
  <c r="D7" i="7"/>
  <c r="L7" i="2"/>
  <c r="E7" i="7" s="1"/>
  <c r="G29" i="4"/>
  <c r="K29" i="7" s="1"/>
  <c r="J29" i="7"/>
  <c r="R24" i="7"/>
  <c r="G24" i="6"/>
  <c r="S24" i="7" s="1"/>
  <c r="G21" i="4"/>
  <c r="K21" i="7" s="1"/>
  <c r="J21" i="7"/>
  <c r="T18" i="7"/>
  <c r="L18" i="6"/>
  <c r="U18" i="7" s="1"/>
  <c r="L39" i="7"/>
  <c r="L39" i="4"/>
  <c r="M39" i="7" s="1"/>
  <c r="N41" i="7"/>
  <c r="G41" i="5"/>
  <c r="O41" i="7" s="1"/>
  <c r="L12" i="7"/>
  <c r="L12" i="4"/>
  <c r="M12" i="7" s="1"/>
  <c r="L27" i="7"/>
  <c r="L27" i="4"/>
  <c r="M27" i="7" s="1"/>
  <c r="P34" i="7"/>
  <c r="L34" i="5"/>
  <c r="Q34" i="7" s="1"/>
  <c r="J41" i="7"/>
  <c r="G41" i="4"/>
  <c r="K41" i="7" s="1"/>
  <c r="F36" i="7"/>
  <c r="G36" i="3"/>
  <c r="G36" i="7" s="1"/>
  <c r="N7" i="7"/>
  <c r="G7" i="5"/>
  <c r="O7" i="7" s="1"/>
  <c r="N34" i="7"/>
  <c r="G34" i="5"/>
  <c r="O34" i="7" s="1"/>
  <c r="L24" i="7"/>
  <c r="L24" i="4"/>
  <c r="M24" i="7" s="1"/>
  <c r="J30" i="7"/>
  <c r="G30" i="4"/>
  <c r="K30" i="7" s="1"/>
  <c r="L7" i="3"/>
  <c r="I7" i="7" s="1"/>
  <c r="H7" i="7"/>
  <c r="J16" i="7"/>
  <c r="G16" i="4"/>
  <c r="K16" i="7" s="1"/>
  <c r="R41" i="7"/>
  <c r="G41" i="6"/>
  <c r="S41" i="7" s="1"/>
  <c r="J15" i="7"/>
  <c r="G15" i="4"/>
  <c r="K15" i="7" s="1"/>
  <c r="D26" i="7"/>
  <c r="L26" i="2"/>
  <c r="E26" i="7" s="1"/>
  <c r="J39" i="7"/>
  <c r="G39" i="4"/>
  <c r="K39" i="7" s="1"/>
  <c r="L31" i="7"/>
  <c r="L31" i="4"/>
  <c r="M31" i="7" s="1"/>
  <c r="B28" i="7"/>
  <c r="G28" i="2"/>
  <c r="C28" i="7" s="1"/>
  <c r="G9" i="5"/>
  <c r="B8" i="1"/>
  <c r="G8" i="1" s="1"/>
  <c r="N9" i="7"/>
  <c r="L41" i="4"/>
  <c r="M41" i="7" s="1"/>
  <c r="L41" i="7"/>
  <c r="L23" i="7"/>
  <c r="L23" i="4"/>
  <c r="M23" i="7" s="1"/>
  <c r="F28" i="7"/>
  <c r="G28" i="3"/>
  <c r="G28" i="7" s="1"/>
  <c r="N19" i="7"/>
  <c r="G19" i="5"/>
  <c r="O19" i="7" s="1"/>
  <c r="L24" i="5"/>
  <c r="Q24" i="7" s="1"/>
  <c r="P24" i="7"/>
  <c r="G39" i="5"/>
  <c r="O39" i="7" s="1"/>
  <c r="N39" i="7"/>
  <c r="G31" i="6"/>
  <c r="S31" i="7" s="1"/>
  <c r="R31" i="7"/>
  <c r="L8" i="3"/>
  <c r="I8" i="7" s="1"/>
  <c r="B14" i="7"/>
  <c r="G14" i="2"/>
  <c r="C14" i="7" s="1"/>
  <c r="L23" i="5"/>
  <c r="Q23" i="7" s="1"/>
  <c r="G39" i="2"/>
  <c r="C39" i="7" s="1"/>
  <c r="G12" i="4"/>
  <c r="K12" i="7" s="1"/>
  <c r="L34" i="4"/>
  <c r="M34" i="7" s="1"/>
  <c r="G9" i="4"/>
  <c r="L15" i="4"/>
  <c r="M15" i="7" s="1"/>
  <c r="L35" i="6"/>
  <c r="U35" i="7" s="1"/>
  <c r="L30" i="2"/>
  <c r="E30" i="7" s="1"/>
  <c r="L16" i="2"/>
  <c r="E16" i="7" s="1"/>
  <c r="L25" i="3"/>
  <c r="I25" i="7" s="1"/>
  <c r="G5" i="1" l="1"/>
  <c r="E5" i="1"/>
  <c r="E9" i="7"/>
  <c r="E7" i="1"/>
  <c r="M9" i="7"/>
  <c r="E6" i="1"/>
  <c r="I9" i="7"/>
  <c r="S9" i="7"/>
  <c r="C9" i="1"/>
  <c r="F9" i="1" s="1"/>
  <c r="C5" i="1"/>
  <c r="C9" i="7"/>
  <c r="G9" i="7"/>
  <c r="C6" i="1"/>
  <c r="F6" i="1" s="1"/>
  <c r="G9" i="1"/>
  <c r="E9" i="1"/>
  <c r="U9" i="7"/>
  <c r="C7" i="1"/>
  <c r="F7" i="1" s="1"/>
  <c r="K9" i="7"/>
  <c r="C8" i="1"/>
  <c r="O9" i="7"/>
  <c r="Q9" i="7"/>
  <c r="E8" i="1"/>
  <c r="F5" i="1" l="1"/>
  <c r="F8" i="1"/>
</calcChain>
</file>

<file path=xl/sharedStrings.xml><?xml version="1.0" encoding="utf-8"?>
<sst xmlns="http://schemas.openxmlformats.org/spreadsheetml/2006/main" count="493" uniqueCount="132">
  <si>
    <t>Notes and sources</t>
  </si>
  <si>
    <t>Asset weights (capital-stock shares; Devereux 2012), matching capital_cost_recovery.R</t>
  </si>
  <si>
    <t>w_machines</t>
  </si>
  <si>
    <t>w_buildings</t>
  </si>
  <si>
    <t>w_intangibles</t>
  </si>
  <si>
    <t>Reform: Canada grants immediate expensing (NPV = 1.0) for machinery and buildings from 2026 onward; intangibles remain on current law.</t>
  </si>
  <si>
    <t>Weighted average = w_machines*machinery + w_buildings*buildings + w_intangibles*intangibles.</t>
  </si>
  <si>
    <t>Ranking: RANK on the weighted average rounded to 4 dp, within the 38 OECD countries, descending, ties assigned the minimum rank (matches R rank(-round(x,4), ties.method="min")).</t>
  </si>
  <si>
    <t>OECD ranking excludes the 5 EU-but-not-OECD countries in the dataset: Bulgaria, Croatia, Cyprus, Malta, Romania.</t>
  </si>
  <si>
    <t>Source data: final-data/npv_all_years.csv (produced by capital_cost_recovery.R). Canada per-asset scenario: final-outputs/canada_expensing_scenario.csv.</t>
  </si>
  <si>
    <t>Current-law forecasts for all 38 countries extend through 2030; the ranking window is 2026-2030 for that reason.</t>
  </si>
  <si>
    <t>Net Present Value of Capital Allowances, OECD Ranking 2026: current law vs. Canada immediate-expensing reform</t>
  </si>
  <si>
    <t>Weighted avg = weights (Notes) applied to asset NPVs (source: final-data/npv_all_years.csv). Reform sets Canada machinery and buildings to 1.0; intangibles unchanged. Ranks: RANK on weighted avg rounded to 4 dp, ties=min.</t>
  </si>
  <si>
    <t>Country</t>
  </si>
  <si>
    <t>ISO</t>
  </si>
  <si>
    <t>Buildings (current law)</t>
  </si>
  <si>
    <t>Machinery (current law)</t>
  </si>
  <si>
    <t>Intangibles (current law)</t>
  </si>
  <si>
    <t>Weighted avg (current law)</t>
  </si>
  <si>
    <t>Rank (current law)</t>
  </si>
  <si>
    <t>Buildings (reform)</t>
  </si>
  <si>
    <t>Machinery (reform)</t>
  </si>
  <si>
    <t>Intangibles (reform)</t>
  </si>
  <si>
    <t>Weighted avg (reform)</t>
  </si>
  <si>
    <t>Rank (reform)</t>
  </si>
  <si>
    <t>Estonia</t>
  </si>
  <si>
    <t>EST</t>
  </si>
  <si>
    <t>Latvia</t>
  </si>
  <si>
    <t>LVA</t>
  </si>
  <si>
    <t>United States</t>
  </si>
  <si>
    <t>USA</t>
  </si>
  <si>
    <t>Lithuania</t>
  </si>
  <si>
    <t>LTU</t>
  </si>
  <si>
    <t>Canada</t>
  </si>
  <si>
    <t>CAN</t>
  </si>
  <si>
    <t>Italy</t>
  </si>
  <si>
    <t>ITA</t>
  </si>
  <si>
    <t>Korea</t>
  </si>
  <si>
    <t>KOR</t>
  </si>
  <si>
    <t>Iceland</t>
  </si>
  <si>
    <t>ISL</t>
  </si>
  <si>
    <t>France</t>
  </si>
  <si>
    <t>FRA</t>
  </si>
  <si>
    <t>Switzerland</t>
  </si>
  <si>
    <t>CHE</t>
  </si>
  <si>
    <t>Slovakia</t>
  </si>
  <si>
    <t>SVK</t>
  </si>
  <si>
    <t>Belgium</t>
  </si>
  <si>
    <t>BEL</t>
  </si>
  <si>
    <t>Czech Republic</t>
  </si>
  <si>
    <t>CZE</t>
  </si>
  <si>
    <t>Mexico</t>
  </si>
  <si>
    <t>MEX</t>
  </si>
  <si>
    <t>United Kingdom</t>
  </si>
  <si>
    <t>GBR</t>
  </si>
  <si>
    <t>Israel</t>
  </si>
  <si>
    <t>ISR</t>
  </si>
  <si>
    <t>Luxembourg</t>
  </si>
  <si>
    <t>LUX</t>
  </si>
  <si>
    <t>Sweden</t>
  </si>
  <si>
    <t>SWE</t>
  </si>
  <si>
    <t>Portugal</t>
  </si>
  <si>
    <t>PRT</t>
  </si>
  <si>
    <t>Finland</t>
  </si>
  <si>
    <t>FIN</t>
  </si>
  <si>
    <t>Germany</t>
  </si>
  <si>
    <t>DEU</t>
  </si>
  <si>
    <t>Austria</t>
  </si>
  <si>
    <t>AUT</t>
  </si>
  <si>
    <t>Turkey</t>
  </si>
  <si>
    <t>TUR</t>
  </si>
  <si>
    <t>Slovenia</t>
  </si>
  <si>
    <t>SVN</t>
  </si>
  <si>
    <t>Australia</t>
  </si>
  <si>
    <t>AUS</t>
  </si>
  <si>
    <t>Denmark</t>
  </si>
  <si>
    <t>DNK</t>
  </si>
  <si>
    <t>Ireland</t>
  </si>
  <si>
    <t>IRL</t>
  </si>
  <si>
    <t>Greece</t>
  </si>
  <si>
    <t>GRC</t>
  </si>
  <si>
    <t>Netherlands</t>
  </si>
  <si>
    <t>NLD</t>
  </si>
  <si>
    <t>Spain</t>
  </si>
  <si>
    <t>ESP</t>
  </si>
  <si>
    <t>Japan</t>
  </si>
  <si>
    <t>JPN</t>
  </si>
  <si>
    <t>Norway</t>
  </si>
  <si>
    <t>NOR</t>
  </si>
  <si>
    <t>Poland</t>
  </si>
  <si>
    <t>POL</t>
  </si>
  <si>
    <t>Costa Rica</t>
  </si>
  <si>
    <t>CRI</t>
  </si>
  <si>
    <t>Hungary</t>
  </si>
  <si>
    <t>HUN</t>
  </si>
  <si>
    <t>Colombia</t>
  </si>
  <si>
    <t>COL</t>
  </si>
  <si>
    <t>New Zealand</t>
  </si>
  <si>
    <t>NZL</t>
  </si>
  <si>
    <t>Chile</t>
  </si>
  <si>
    <t>CHL</t>
  </si>
  <si>
    <t>Net Present Value of Capital Allowances, OECD Ranking 2027: current law vs. Canada immediate-expensing reform</t>
  </si>
  <si>
    <t>Net Present Value of Capital Allowances, OECD Ranking 2028: current law vs. Canada immediate-expensing reform</t>
  </si>
  <si>
    <t>Net Present Value of Capital Allowances, OECD Ranking 2029: current law vs. Canada immediate-expensing reform</t>
  </si>
  <si>
    <t>Net Present Value of Capital Allowances, OECD Ranking 2030: current law vs. Canada immediate-expensing reform</t>
  </si>
  <si>
    <t>Canada: immediate expensing for machinery and buildings - weighted-average NPV and OECD rank, 2026-2030</t>
  </si>
  <si>
    <t>Values link to the per-year sheets. Rank change is positive when the reform improves Canada rank (current-law rank minus reform rank).</t>
  </si>
  <si>
    <t>Year</t>
  </si>
  <si>
    <t>Rank change (+ = better)</t>
  </si>
  <si>
    <t>Weighted-avg change</t>
  </si>
  <si>
    <t>Consolidated OECD rankings 2026-2030: current law vs. Canada immediate-expensing reform</t>
  </si>
  <si>
    <t>All values link to the per-year sheets. wavg = weighted average NPV; CL = current law.</t>
  </si>
  <si>
    <t>2026 wavg CL</t>
  </si>
  <si>
    <t>2026 rank CL</t>
  </si>
  <si>
    <t>2026 wavg reform</t>
  </si>
  <si>
    <t>2026 rank reform</t>
  </si>
  <si>
    <t>2027 wavg CL</t>
  </si>
  <si>
    <t>2027 rank CL</t>
  </si>
  <si>
    <t>2027 wavg reform</t>
  </si>
  <si>
    <t>2027 rank reform</t>
  </si>
  <si>
    <t>2028 wavg CL</t>
  </si>
  <si>
    <t>2028 rank CL</t>
  </si>
  <si>
    <t>2028 wavg reform</t>
  </si>
  <si>
    <t>2028 rank reform</t>
  </si>
  <si>
    <t>2029 wavg CL</t>
  </si>
  <si>
    <t>2029 rank CL</t>
  </si>
  <si>
    <t>2029 wavg reform</t>
  </si>
  <si>
    <t>2029 rank reform</t>
  </si>
  <si>
    <t>2030 wavg CL</t>
  </si>
  <si>
    <t>2030 rank CL</t>
  </si>
  <si>
    <t>2030 wavg reform</t>
  </si>
  <si>
    <t>2030 rank reform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</si>
</sst>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BDCF-2212-4330-91D7-6EF19B590194}">
  <dimension ref="A1:G9"/>
  <sheetViews>
    <sheetView workbookViewId="0"/>
  </sheetViews>
  <sheetFormatPr defaultRowHeight="14.25" x14ac:dyDescent="0.45"/>
  <cols>
    <col min="1" max="1" width="8.59765625" customWidth="1"/>
    <col min="2" max="7" width="22.59765625" customWidth="1"/>
  </cols>
  <sheetData>
    <row r="1" spans="1:7" x14ac:dyDescent="0.45">
      <c r="A1" s="1" t="s">
        <v>105</v>
      </c>
    </row>
    <row r="2" spans="1:7" x14ac:dyDescent="0.45">
      <c r="A2" t="s">
        <v>106</v>
      </c>
    </row>
    <row r="4" spans="1:7" x14ac:dyDescent="0.45">
      <c r="A4" s="1" t="s">
        <v>107</v>
      </c>
      <c r="B4" s="1" t="s">
        <v>18</v>
      </c>
      <c r="C4" s="1" t="s">
        <v>19</v>
      </c>
      <c r="D4" s="1" t="s">
        <v>23</v>
      </c>
      <c r="E4" s="1" t="s">
        <v>24</v>
      </c>
      <c r="F4" s="1" t="s">
        <v>108</v>
      </c>
      <c r="G4" s="1" t="s">
        <v>109</v>
      </c>
    </row>
    <row r="5" spans="1:7" x14ac:dyDescent="0.45">
      <c r="A5" s="3">
        <f>2026</f>
        <v>2026</v>
      </c>
      <c r="B5" s="2">
        <f>'2026'!F9</f>
        <v>0.85</v>
      </c>
      <c r="C5" s="3">
        <f>'2026'!G9</f>
        <v>5</v>
      </c>
      <c r="D5" s="2">
        <f>'2026'!K9</f>
        <v>1</v>
      </c>
      <c r="E5" s="3">
        <f>'2026'!L9</f>
        <v>1</v>
      </c>
      <c r="F5" s="3">
        <f>C5-E5</f>
        <v>4</v>
      </c>
      <c r="G5" s="2">
        <f>D5-B5</f>
        <v>0.15000000000000002</v>
      </c>
    </row>
    <row r="6" spans="1:7" x14ac:dyDescent="0.45">
      <c r="A6" s="3">
        <f>2027</f>
        <v>2027</v>
      </c>
      <c r="B6" s="2">
        <f>'2027'!F9</f>
        <v>0.76500000000000001</v>
      </c>
      <c r="C6" s="3">
        <f>'2027'!G9</f>
        <v>5</v>
      </c>
      <c r="D6" s="2">
        <f>'2027'!K9</f>
        <v>0.91490000000000005</v>
      </c>
      <c r="E6" s="3">
        <f>'2027'!L9</f>
        <v>5</v>
      </c>
      <c r="F6" s="3">
        <f>C6-E6</f>
        <v>0</v>
      </c>
      <c r="G6" s="2">
        <f>D6-B6</f>
        <v>0.14990000000000003</v>
      </c>
    </row>
    <row r="7" spans="1:7" x14ac:dyDescent="0.45">
      <c r="A7" s="3">
        <f>2028</f>
        <v>2028</v>
      </c>
      <c r="B7" s="2">
        <f>'2028'!F9</f>
        <v>0.76500000000000001</v>
      </c>
      <c r="C7" s="3">
        <f>'2028'!G9</f>
        <v>5</v>
      </c>
      <c r="D7" s="2">
        <f>'2028'!K9</f>
        <v>0.91490000000000005</v>
      </c>
      <c r="E7" s="3">
        <f>'2028'!L9</f>
        <v>5</v>
      </c>
      <c r="F7" s="3">
        <f>C7-E7</f>
        <v>0</v>
      </c>
      <c r="G7" s="2">
        <f>D7-B7</f>
        <v>0.14990000000000003</v>
      </c>
    </row>
    <row r="8" spans="1:7" x14ac:dyDescent="0.45">
      <c r="A8" s="3">
        <f>2029</f>
        <v>2029</v>
      </c>
      <c r="B8" s="2">
        <f>'2029'!F9</f>
        <v>0.76500000000000001</v>
      </c>
      <c r="C8" s="3">
        <f>'2029'!G9</f>
        <v>4</v>
      </c>
      <c r="D8" s="2">
        <f>'2029'!K9</f>
        <v>0.91490000000000005</v>
      </c>
      <c r="E8" s="3">
        <f>'2029'!L9</f>
        <v>4</v>
      </c>
      <c r="F8" s="3">
        <f>C8-E8</f>
        <v>0</v>
      </c>
      <c r="G8" s="2">
        <f>D8-B8</f>
        <v>0.14990000000000003</v>
      </c>
    </row>
    <row r="9" spans="1:7" x14ac:dyDescent="0.45">
      <c r="A9" s="3">
        <f>2030</f>
        <v>2030</v>
      </c>
      <c r="B9" s="2">
        <f>'2030'!F9</f>
        <v>0.74619999999999997</v>
      </c>
      <c r="C9" s="3">
        <f>'2030'!G9</f>
        <v>7</v>
      </c>
      <c r="D9" s="2">
        <f>'2030'!K9</f>
        <v>0.91490000000000005</v>
      </c>
      <c r="E9" s="3">
        <f>'2030'!L9</f>
        <v>4</v>
      </c>
      <c r="F9" s="3">
        <f>C9-E9</f>
        <v>3</v>
      </c>
      <c r="G9" s="2">
        <f>D9-B9</f>
        <v>0.16870000000000007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B0C67-AD13-412A-954E-DEC579E1BFA4}">
  <dimension ref="A1:L42"/>
  <sheetViews>
    <sheetView workbookViewId="0"/>
  </sheetViews>
  <sheetFormatPr defaultRowHeight="14.25" x14ac:dyDescent="0.45"/>
  <cols>
    <col min="1" max="1" width="20.59765625" customWidth="1"/>
    <col min="3" max="12" width="13.59765625" customWidth="1"/>
  </cols>
  <sheetData>
    <row r="1" spans="1:12" x14ac:dyDescent="0.45">
      <c r="A1" s="1" t="s">
        <v>11</v>
      </c>
    </row>
    <row r="2" spans="1:12" x14ac:dyDescent="0.45">
      <c r="A2" t="s">
        <v>12</v>
      </c>
    </row>
    <row r="4" spans="1:12" x14ac:dyDescent="0.45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</row>
    <row r="5" spans="1:12" x14ac:dyDescent="0.45">
      <c r="A5" t="s">
        <v>25</v>
      </c>
      <c r="B5" t="s">
        <v>26</v>
      </c>
      <c r="C5" s="2">
        <f>1</f>
        <v>1</v>
      </c>
      <c r="D5" s="2">
        <f>1</f>
        <v>1</v>
      </c>
      <c r="E5" s="2">
        <f>1</f>
        <v>1</v>
      </c>
      <c r="F5" s="2">
        <f>ROUND(Notes!$B$4*D5+Notes!$B$5*C5+Notes!$B$6*E5,4)</f>
        <v>1</v>
      </c>
      <c r="G5" s="3">
        <f>RANK(F5,F$5:F$42,0)</f>
        <v>1</v>
      </c>
      <c r="H5" s="2">
        <f>C5</f>
        <v>1</v>
      </c>
      <c r="I5" s="2">
        <f>D5</f>
        <v>1</v>
      </c>
      <c r="J5" s="2">
        <f>E5</f>
        <v>1</v>
      </c>
      <c r="K5" s="2">
        <f>ROUND(Notes!$B$4*I5+Notes!$B$5*H5+Notes!$B$6*J5,4)</f>
        <v>1</v>
      </c>
      <c r="L5" s="3">
        <f>RANK(K5,K$5:K$42,0)</f>
        <v>1</v>
      </c>
    </row>
    <row r="6" spans="1:12" x14ac:dyDescent="0.45">
      <c r="A6" t="s">
        <v>27</v>
      </c>
      <c r="B6" t="s">
        <v>28</v>
      </c>
      <c r="C6" s="2">
        <f>1</f>
        <v>1</v>
      </c>
      <c r="D6" s="2">
        <f>1</f>
        <v>1</v>
      </c>
      <c r="E6" s="2">
        <f>1</f>
        <v>1</v>
      </c>
      <c r="F6" s="2">
        <f>ROUND(Notes!$B$4*D6+Notes!$B$5*C6+Notes!$B$6*E6,4)</f>
        <v>1</v>
      </c>
      <c r="G6" s="3">
        <f>RANK(F6,F$5:F$42,0)</f>
        <v>1</v>
      </c>
      <c r="H6" s="2">
        <f>C6</f>
        <v>1</v>
      </c>
      <c r="I6" s="2">
        <f>D6</f>
        <v>1</v>
      </c>
      <c r="J6" s="2">
        <f>E6</f>
        <v>1</v>
      </c>
      <c r="K6" s="2">
        <f>ROUND(Notes!$B$4*I6+Notes!$B$5*H6+Notes!$B$6*J6,4)</f>
        <v>1</v>
      </c>
      <c r="L6" s="3">
        <f>RANK(K6,K$5:K$42,0)</f>
        <v>1</v>
      </c>
    </row>
    <row r="7" spans="1:12" x14ac:dyDescent="0.45">
      <c r="A7" t="s">
        <v>29</v>
      </c>
      <c r="B7" t="s">
        <v>30</v>
      </c>
      <c r="C7" s="2">
        <f>1</f>
        <v>1</v>
      </c>
      <c r="D7" s="2">
        <f>1</f>
        <v>1</v>
      </c>
      <c r="E7" s="2">
        <f>0.632751338890881</f>
        <v>0.63275133889088098</v>
      </c>
      <c r="F7" s="2">
        <f>ROUND(Notes!$B$4*D7+Notes!$B$5*C7+Notes!$B$6*E7,4)</f>
        <v>0.94520000000000004</v>
      </c>
      <c r="G7" s="3">
        <f>RANK(F7,F$5:F$42,0)</f>
        <v>3</v>
      </c>
      <c r="H7" s="2">
        <f>C7</f>
        <v>1</v>
      </c>
      <c r="I7" s="2">
        <f>D7</f>
        <v>1</v>
      </c>
      <c r="J7" s="2">
        <f>E7</f>
        <v>0.63275133889088098</v>
      </c>
      <c r="K7" s="2">
        <f>ROUND(Notes!$B$4*I7+Notes!$B$5*H7+Notes!$B$6*J7,4)</f>
        <v>0.94520000000000004</v>
      </c>
      <c r="L7" s="3">
        <f>RANK(K7,K$5:K$42,0)</f>
        <v>4</v>
      </c>
    </row>
    <row r="8" spans="1:12" x14ac:dyDescent="0.45">
      <c r="A8" t="s">
        <v>31</v>
      </c>
      <c r="B8" t="s">
        <v>32</v>
      </c>
      <c r="C8" s="2">
        <f>0.826923076923077</f>
        <v>0.82692307692307698</v>
      </c>
      <c r="D8" s="2">
        <f>1</f>
        <v>1</v>
      </c>
      <c r="E8" s="2">
        <f>1</f>
        <v>1</v>
      </c>
      <c r="F8" s="2">
        <f>ROUND(Notes!$B$4*D8+Notes!$B$5*C8+Notes!$B$6*E8,4)</f>
        <v>0.92879999999999996</v>
      </c>
      <c r="G8" s="3">
        <f>RANK(F8,F$5:F$42,0)</f>
        <v>4</v>
      </c>
      <c r="H8" s="2">
        <f>C8</f>
        <v>0.82692307692307698</v>
      </c>
      <c r="I8" s="2">
        <f>D8</f>
        <v>1</v>
      </c>
      <c r="J8" s="2">
        <f>E8</f>
        <v>1</v>
      </c>
      <c r="K8" s="2">
        <f>ROUND(Notes!$B$4*I8+Notes!$B$5*H8+Notes!$B$6*J8,4)</f>
        <v>0.92879999999999996</v>
      </c>
      <c r="L8" s="3">
        <f>RANK(K8,K$5:K$42,0)</f>
        <v>5</v>
      </c>
    </row>
    <row r="9" spans="1:12" x14ac:dyDescent="0.45">
      <c r="A9" t="s">
        <v>33</v>
      </c>
      <c r="B9" t="s">
        <v>34</v>
      </c>
      <c r="C9" s="2">
        <f>0.635714285714286</f>
        <v>0.63571428571428601</v>
      </c>
      <c r="D9" s="2">
        <f>1</f>
        <v>1</v>
      </c>
      <c r="E9" s="2">
        <f>1</f>
        <v>1</v>
      </c>
      <c r="F9" s="2">
        <f>ROUND(Notes!$B$4*D9+Notes!$B$5*C9+Notes!$B$6*E9,4)</f>
        <v>0.85</v>
      </c>
      <c r="G9" s="3">
        <f>RANK(F9,F$5:F$42,0)</f>
        <v>5</v>
      </c>
      <c r="H9" s="2">
        <f>1</f>
        <v>1</v>
      </c>
      <c r="I9" s="2">
        <f>1</f>
        <v>1</v>
      </c>
      <c r="J9" s="2">
        <f>E9</f>
        <v>1</v>
      </c>
      <c r="K9" s="2">
        <f>ROUND(Notes!$B$4*I9+Notes!$B$5*H9+Notes!$B$6*J9,4)</f>
        <v>1</v>
      </c>
      <c r="L9" s="3">
        <f>RANK(K9,K$5:K$42,0)</f>
        <v>1</v>
      </c>
    </row>
    <row r="10" spans="1:12" x14ac:dyDescent="0.45">
      <c r="A10" t="s">
        <v>35</v>
      </c>
      <c r="B10" t="s">
        <v>36</v>
      </c>
      <c r="C10" s="2">
        <f>0.576669379707147</f>
        <v>0.57666937970714705</v>
      </c>
      <c r="D10" s="2">
        <f>0.869865253929667</f>
        <v>0.86986525392966696</v>
      </c>
      <c r="E10" s="2">
        <f>0.965116279069767</f>
        <v>0.96511627906976705</v>
      </c>
      <c r="F10" s="2">
        <f>ROUND(Notes!$B$4*D10+Notes!$B$5*C10+Notes!$B$6*E10,4)</f>
        <v>0.76339999999999997</v>
      </c>
      <c r="G10" s="3">
        <f>RANK(F10,F$5:F$42,0)</f>
        <v>6</v>
      </c>
      <c r="H10" s="2">
        <f>C10</f>
        <v>0.57666937970714705</v>
      </c>
      <c r="I10" s="2">
        <f>D10</f>
        <v>0.86986525392966696</v>
      </c>
      <c r="J10" s="2">
        <f>E10</f>
        <v>0.96511627906976705</v>
      </c>
      <c r="K10" s="2">
        <f>ROUND(Notes!$B$4*I10+Notes!$B$5*H10+Notes!$B$6*J10,4)</f>
        <v>0.76339999999999997</v>
      </c>
      <c r="L10" s="3">
        <f>RANK(K10,K$5:K$42,0)</f>
        <v>6</v>
      </c>
    </row>
    <row r="11" spans="1:12" x14ac:dyDescent="0.45">
      <c r="A11" t="s">
        <v>37</v>
      </c>
      <c r="B11" t="s">
        <v>38</v>
      </c>
      <c r="C11" s="2">
        <f>0.547953910556565</f>
        <v>0.54795391055656495</v>
      </c>
      <c r="D11" s="2">
        <f>0.921720532319392</f>
        <v>0.92172053231939199</v>
      </c>
      <c r="E11" s="2">
        <f>0.813463195231154</f>
        <v>0.81346319523115396</v>
      </c>
      <c r="F11" s="2">
        <f>ROUND(Notes!$B$4*D11+Notes!$B$5*C11+Notes!$B$6*E11,4)</f>
        <v>0.75170000000000003</v>
      </c>
      <c r="G11" s="3">
        <f>RANK(F11,F$5:F$42,0)</f>
        <v>7</v>
      </c>
      <c r="H11" s="2">
        <f>C11</f>
        <v>0.54795391055656495</v>
      </c>
      <c r="I11" s="2">
        <f>D11</f>
        <v>0.92172053231939199</v>
      </c>
      <c r="J11" s="2">
        <f>E11</f>
        <v>0.81346319523115396</v>
      </c>
      <c r="K11" s="2">
        <f>ROUND(Notes!$B$4*I11+Notes!$B$5*H11+Notes!$B$6*J11,4)</f>
        <v>0.75170000000000003</v>
      </c>
      <c r="L11" s="3">
        <f>RANK(K11,K$5:K$42,0)</f>
        <v>7</v>
      </c>
    </row>
    <row r="12" spans="1:12" x14ac:dyDescent="0.45">
      <c r="A12" t="s">
        <v>39</v>
      </c>
      <c r="B12" t="s">
        <v>40</v>
      </c>
      <c r="C12" s="2">
        <f>0.602353618717047</f>
        <v>0.60235361871704696</v>
      </c>
      <c r="D12" s="2">
        <f>0.86</f>
        <v>0.86</v>
      </c>
      <c r="E12" s="2">
        <f>0.812269350072009</f>
        <v>0.81226935007200896</v>
      </c>
      <c r="F12" s="2">
        <f>ROUND(Notes!$B$4*D12+Notes!$B$5*C12+Notes!$B$6*E12,4)</f>
        <v>0.74680000000000002</v>
      </c>
      <c r="G12" s="3">
        <f>RANK(F12,F$5:F$42,0)</f>
        <v>8</v>
      </c>
      <c r="H12" s="2">
        <f>C12</f>
        <v>0.60235361871704696</v>
      </c>
      <c r="I12" s="2">
        <f>D12</f>
        <v>0.86</v>
      </c>
      <c r="J12" s="2">
        <f>E12</f>
        <v>0.81226935007200896</v>
      </c>
      <c r="K12" s="2">
        <f>ROUND(Notes!$B$4*I12+Notes!$B$5*H12+Notes!$B$6*J12,4)</f>
        <v>0.74680000000000002</v>
      </c>
      <c r="L12" s="3">
        <f>RANK(K12,K$5:K$42,0)</f>
        <v>8</v>
      </c>
    </row>
    <row r="13" spans="1:12" x14ac:dyDescent="0.45">
      <c r="A13" t="s">
        <v>41</v>
      </c>
      <c r="B13" t="s">
        <v>42</v>
      </c>
      <c r="C13" s="2">
        <f>0.547953910556565</f>
        <v>0.54795391055656495</v>
      </c>
      <c r="D13" s="2">
        <f>0.880275603755891</f>
        <v>0.88027560375589098</v>
      </c>
      <c r="E13" s="2">
        <f>0.869865253929667</f>
        <v>0.86986525392966696</v>
      </c>
      <c r="F13" s="2">
        <f>ROUND(Notes!$B$4*D13+Notes!$B$5*C13+Notes!$B$6*E13,4)</f>
        <v>0.7419</v>
      </c>
      <c r="G13" s="3">
        <f>RANK(F13,F$5:F$42,0)</f>
        <v>9</v>
      </c>
      <c r="H13" s="2">
        <f>C13</f>
        <v>0.54795391055656495</v>
      </c>
      <c r="I13" s="2">
        <f>D13</f>
        <v>0.88027560375589098</v>
      </c>
      <c r="J13" s="2">
        <f>E13</f>
        <v>0.86986525392966696</v>
      </c>
      <c r="K13" s="2">
        <f>ROUND(Notes!$B$4*I13+Notes!$B$5*H13+Notes!$B$6*J13,4)</f>
        <v>0.7419</v>
      </c>
      <c r="L13" s="3">
        <f>RANK(K13,K$5:K$42,0)</f>
        <v>9</v>
      </c>
    </row>
    <row r="14" spans="1:12" x14ac:dyDescent="0.45">
      <c r="A14" t="s">
        <v>43</v>
      </c>
      <c r="B14" t="s">
        <v>44</v>
      </c>
      <c r="C14" s="2">
        <f>0.554838709677419</f>
        <v>0.554838709677419</v>
      </c>
      <c r="D14" s="2">
        <f>0.86</f>
        <v>0.86</v>
      </c>
      <c r="E14" s="2">
        <f>0.905263157894737</f>
        <v>0.90526315789473699</v>
      </c>
      <c r="F14" s="2">
        <f>ROUND(Notes!$B$4*D14+Notes!$B$5*C14+Notes!$B$6*E14,4)</f>
        <v>0.74109999999999998</v>
      </c>
      <c r="G14" s="3">
        <f>RANK(F14,F$5:F$42,0)</f>
        <v>10</v>
      </c>
      <c r="H14" s="2">
        <f>C14</f>
        <v>0.554838709677419</v>
      </c>
      <c r="I14" s="2">
        <f>D14</f>
        <v>0.86</v>
      </c>
      <c r="J14" s="2">
        <f>E14</f>
        <v>0.90526315789473699</v>
      </c>
      <c r="K14" s="2">
        <f>ROUND(Notes!$B$4*I14+Notes!$B$5*H14+Notes!$B$6*J14,4)</f>
        <v>0.74109999999999998</v>
      </c>
      <c r="L14" s="3">
        <f>RANK(K14,K$5:K$42,0)</f>
        <v>10</v>
      </c>
    </row>
    <row r="15" spans="1:12" x14ac:dyDescent="0.45">
      <c r="A15" t="s">
        <v>45</v>
      </c>
      <c r="B15" t="s">
        <v>46</v>
      </c>
      <c r="C15" s="2">
        <f>0.547953910556565</f>
        <v>0.54795391055656495</v>
      </c>
      <c r="D15" s="2">
        <f>0.873879108036537</f>
        <v>0.87387910803653701</v>
      </c>
      <c r="E15" s="2">
        <f>0.869865253929667</f>
        <v>0.86986525392966696</v>
      </c>
      <c r="F15" s="2">
        <f>ROUND(Notes!$B$4*D15+Notes!$B$5*C15+Notes!$B$6*E15,4)</f>
        <v>0.73909999999999998</v>
      </c>
      <c r="G15" s="3">
        <f>RANK(F15,F$5:F$42,0)</f>
        <v>11</v>
      </c>
      <c r="H15" s="2">
        <f>C15</f>
        <v>0.54795391055656495</v>
      </c>
      <c r="I15" s="2">
        <f>D15</f>
        <v>0.87387910803653701</v>
      </c>
      <c r="J15" s="2">
        <f>E15</f>
        <v>0.86986525392966696</v>
      </c>
      <c r="K15" s="2">
        <f>ROUND(Notes!$B$4*I15+Notes!$B$5*H15+Notes!$B$6*J15,4)</f>
        <v>0.73909999999999998</v>
      </c>
      <c r="L15" s="3">
        <f>RANK(K15,K$5:K$42,0)</f>
        <v>11</v>
      </c>
    </row>
    <row r="16" spans="1:12" x14ac:dyDescent="0.45">
      <c r="A16" t="s">
        <v>47</v>
      </c>
      <c r="B16" t="s">
        <v>48</v>
      </c>
      <c r="C16" s="2">
        <f>0.547953910556565</f>
        <v>0.54795391055656495</v>
      </c>
      <c r="D16" s="2">
        <f>0.869865253929667</f>
        <v>0.86986525392966696</v>
      </c>
      <c r="E16" s="2">
        <f>0.869865253929667</f>
        <v>0.86986525392966696</v>
      </c>
      <c r="F16" s="2">
        <f>ROUND(Notes!$B$4*D16+Notes!$B$5*C16+Notes!$B$6*E16,4)</f>
        <v>0.73729999999999996</v>
      </c>
      <c r="G16" s="3">
        <f>RANK(F16,F$5:F$42,0)</f>
        <v>12</v>
      </c>
      <c r="H16" s="2">
        <f>C16</f>
        <v>0.54795391055656495</v>
      </c>
      <c r="I16" s="2">
        <f>D16</f>
        <v>0.86986525392966696</v>
      </c>
      <c r="J16" s="2">
        <f>E16</f>
        <v>0.86986525392966696</v>
      </c>
      <c r="K16" s="2">
        <f>ROUND(Notes!$B$4*I16+Notes!$B$5*H16+Notes!$B$6*J16,4)</f>
        <v>0.73729999999999996</v>
      </c>
      <c r="L16" s="3">
        <f>RANK(K16,K$5:K$42,0)</f>
        <v>12</v>
      </c>
    </row>
    <row r="17" spans="1:12" x14ac:dyDescent="0.45">
      <c r="A17" t="s">
        <v>49</v>
      </c>
      <c r="B17" t="s">
        <v>50</v>
      </c>
      <c r="C17" s="2">
        <f>0.543222830616488</f>
        <v>0.54322283061648802</v>
      </c>
      <c r="D17" s="2">
        <f>0.873879108036537</f>
        <v>0.87387910803653701</v>
      </c>
      <c r="E17" s="2">
        <f>0.841318847888109</f>
        <v>0.84131884788810896</v>
      </c>
      <c r="F17" s="2">
        <f>ROUND(Notes!$B$4*D17+Notes!$B$5*C17+Notes!$B$6*E17,4)</f>
        <v>0.7329</v>
      </c>
      <c r="G17" s="3">
        <f>RANK(F17,F$5:F$42,0)</f>
        <v>13</v>
      </c>
      <c r="H17" s="2">
        <f>C17</f>
        <v>0.54322283061648802</v>
      </c>
      <c r="I17" s="2">
        <f>D17</f>
        <v>0.87387910803653701</v>
      </c>
      <c r="J17" s="2">
        <f>E17</f>
        <v>0.84131884788810896</v>
      </c>
      <c r="K17" s="2">
        <f>ROUND(Notes!$B$4*I17+Notes!$B$5*H17+Notes!$B$6*J17,4)</f>
        <v>0.7329</v>
      </c>
      <c r="L17" s="3">
        <f>RANK(K17,K$5:K$42,0)</f>
        <v>13</v>
      </c>
    </row>
    <row r="18" spans="1:12" x14ac:dyDescent="0.45">
      <c r="A18" t="s">
        <v>51</v>
      </c>
      <c r="B18" t="s">
        <v>52</v>
      </c>
      <c r="C18" s="2">
        <f>0.630382676079967</f>
        <v>0.63038267607996701</v>
      </c>
      <c r="D18" s="2">
        <f>0.795219524916135</f>
        <v>0.79521952491613501</v>
      </c>
      <c r="E18" s="2">
        <f>0.795219524916135</f>
        <v>0.79521952491613501</v>
      </c>
      <c r="F18" s="2">
        <f>ROUND(Notes!$B$4*D18+Notes!$B$5*C18+Notes!$B$6*E18,4)</f>
        <v>0.72740000000000005</v>
      </c>
      <c r="G18" s="3">
        <f>RANK(F18,F$5:F$42,0)</f>
        <v>14</v>
      </c>
      <c r="H18" s="2">
        <f>C18</f>
        <v>0.63038267607996701</v>
      </c>
      <c r="I18" s="2">
        <f>D18</f>
        <v>0.79521952491613501</v>
      </c>
      <c r="J18" s="2">
        <f>E18</f>
        <v>0.79521952491613501</v>
      </c>
      <c r="K18" s="2">
        <f>ROUND(Notes!$B$4*I18+Notes!$B$5*H18+Notes!$B$6*J18,4)</f>
        <v>0.72740000000000005</v>
      </c>
      <c r="L18" s="3">
        <f>RANK(K18,K$5:K$42,0)</f>
        <v>14</v>
      </c>
    </row>
    <row r="19" spans="1:12" x14ac:dyDescent="0.45">
      <c r="A19" t="s">
        <v>53</v>
      </c>
      <c r="B19" t="s">
        <v>54</v>
      </c>
      <c r="C19" s="2">
        <f>0.391406012913837</f>
        <v>0.39140601291383698</v>
      </c>
      <c r="D19" s="2">
        <f>1</f>
        <v>1</v>
      </c>
      <c r="E19" s="2">
        <f>0.826923076923077</f>
        <v>0.82692307692307698</v>
      </c>
      <c r="F19" s="2">
        <f>ROUND(Notes!$B$4*D19+Notes!$B$5*C19+Notes!$B$6*E19,4)</f>
        <v>0.72360000000000002</v>
      </c>
      <c r="G19" s="3">
        <f>RANK(F19,F$5:F$42,0)</f>
        <v>15</v>
      </c>
      <c r="H19" s="2">
        <f>C19</f>
        <v>0.39140601291383698</v>
      </c>
      <c r="I19" s="2">
        <f>D19</f>
        <v>1</v>
      </c>
      <c r="J19" s="2">
        <f>E19</f>
        <v>0.82692307692307698</v>
      </c>
      <c r="K19" s="2">
        <f>ROUND(Notes!$B$4*I19+Notes!$B$5*H19+Notes!$B$6*J19,4)</f>
        <v>0.72360000000000002</v>
      </c>
      <c r="L19" s="3">
        <f>RANK(K19,K$5:K$42,0)</f>
        <v>15</v>
      </c>
    </row>
    <row r="20" spans="1:12" x14ac:dyDescent="0.45">
      <c r="A20" t="s">
        <v>55</v>
      </c>
      <c r="B20" t="s">
        <v>56</v>
      </c>
      <c r="C20" s="2">
        <f>0.478865241362287</f>
        <v>0.47886524136228698</v>
      </c>
      <c r="D20" s="2">
        <f>0.901030024355631</f>
        <v>0.90103002435563095</v>
      </c>
      <c r="E20" s="2">
        <f>0.835370889649727</f>
        <v>0.83537088964972706</v>
      </c>
      <c r="F20" s="2">
        <f>ROUND(Notes!$B$4*D20+Notes!$B$5*C20+Notes!$B$6*E20,4)</f>
        <v>0.71740000000000004</v>
      </c>
      <c r="G20" s="3">
        <f>RANK(F20,F$5:F$42,0)</f>
        <v>16</v>
      </c>
      <c r="H20" s="2">
        <f>C20</f>
        <v>0.47886524136228698</v>
      </c>
      <c r="I20" s="2">
        <f>D20</f>
        <v>0.90103002435563095</v>
      </c>
      <c r="J20" s="2">
        <f>E20</f>
        <v>0.83537088964972706</v>
      </c>
      <c r="K20" s="2">
        <f>ROUND(Notes!$B$4*I20+Notes!$B$5*H20+Notes!$B$6*J20,4)</f>
        <v>0.71740000000000004</v>
      </c>
      <c r="L20" s="3">
        <f>RANK(K20,K$5:K$42,0)</f>
        <v>16</v>
      </c>
    </row>
    <row r="21" spans="1:12" x14ac:dyDescent="0.45">
      <c r="A21" t="s">
        <v>57</v>
      </c>
      <c r="B21" t="s">
        <v>58</v>
      </c>
      <c r="C21" s="2">
        <f>0.479318672008477</f>
        <v>0.479318672008477</v>
      </c>
      <c r="D21" s="2">
        <f>0.873417350634541</f>
        <v>0.87341735063454096</v>
      </c>
      <c r="E21" s="2">
        <f>0.869865253929667</f>
        <v>0.86986525392966696</v>
      </c>
      <c r="F21" s="2">
        <f>ROUND(Notes!$B$4*D21+Notes!$B$5*C21+Notes!$B$6*E21,4)</f>
        <v>0.7107</v>
      </c>
      <c r="G21" s="3">
        <f>RANK(F21,F$5:F$42,0)</f>
        <v>17</v>
      </c>
      <c r="H21" s="2">
        <f>C21</f>
        <v>0.479318672008477</v>
      </c>
      <c r="I21" s="2">
        <f>D21</f>
        <v>0.87341735063454096</v>
      </c>
      <c r="J21" s="2">
        <f>E21</f>
        <v>0.86986525392966696</v>
      </c>
      <c r="K21" s="2">
        <f>ROUND(Notes!$B$4*I21+Notes!$B$5*H21+Notes!$B$6*J21,4)</f>
        <v>0.7107</v>
      </c>
      <c r="L21" s="3">
        <f>RANK(K21,K$5:K$42,0)</f>
        <v>17</v>
      </c>
    </row>
    <row r="22" spans="1:12" x14ac:dyDescent="0.45">
      <c r="A22" t="s">
        <v>59</v>
      </c>
      <c r="B22" t="s">
        <v>60</v>
      </c>
      <c r="C22" s="2">
        <f>0.479318672008477</f>
        <v>0.479318672008477</v>
      </c>
      <c r="D22" s="2">
        <f>0.86</f>
        <v>0.86</v>
      </c>
      <c r="E22" s="2">
        <f>0.86</f>
        <v>0.86</v>
      </c>
      <c r="F22" s="2">
        <f>ROUND(Notes!$B$4*D22+Notes!$B$5*C22+Notes!$B$6*E22,4)</f>
        <v>0.70330000000000004</v>
      </c>
      <c r="G22" s="3">
        <f>RANK(F22,F$5:F$42,0)</f>
        <v>18</v>
      </c>
      <c r="H22" s="2">
        <f>C22</f>
        <v>0.479318672008477</v>
      </c>
      <c r="I22" s="2">
        <f>D22</f>
        <v>0.86</v>
      </c>
      <c r="J22" s="2">
        <f>E22</f>
        <v>0.86</v>
      </c>
      <c r="K22" s="2">
        <f>ROUND(Notes!$B$4*I22+Notes!$B$5*H22+Notes!$B$6*J22,4)</f>
        <v>0.70330000000000004</v>
      </c>
      <c r="L22" s="3">
        <f>RANK(K22,K$5:K$42,0)</f>
        <v>18</v>
      </c>
    </row>
    <row r="23" spans="1:12" x14ac:dyDescent="0.45">
      <c r="A23" t="s">
        <v>61</v>
      </c>
      <c r="B23" t="s">
        <v>62</v>
      </c>
      <c r="C23" s="2">
        <f>0.547953910556565</f>
        <v>0.54795391055656495</v>
      </c>
      <c r="D23" s="2">
        <f>0.888411247396436</f>
        <v>0.88841124739643595</v>
      </c>
      <c r="E23" s="2">
        <f>0.547953910556565</f>
        <v>0.54795391055656495</v>
      </c>
      <c r="F23" s="2">
        <f>ROUND(Notes!$B$4*D23+Notes!$B$5*C23+Notes!$B$6*E23,4)</f>
        <v>0.69750000000000001</v>
      </c>
      <c r="G23" s="3">
        <f>RANK(F23,F$5:F$42,0)</f>
        <v>19</v>
      </c>
      <c r="H23" s="2">
        <f>C23</f>
        <v>0.54795391055656495</v>
      </c>
      <c r="I23" s="2">
        <f>D23</f>
        <v>0.88841124739643595</v>
      </c>
      <c r="J23" s="2">
        <f>E23</f>
        <v>0.54795391055656495</v>
      </c>
      <c r="K23" s="2">
        <f>ROUND(Notes!$B$4*I23+Notes!$B$5*H23+Notes!$B$6*J23,4)</f>
        <v>0.69750000000000001</v>
      </c>
      <c r="L23" s="3">
        <f>RANK(K23,K$5:K$42,0)</f>
        <v>19</v>
      </c>
    </row>
    <row r="24" spans="1:12" x14ac:dyDescent="0.45">
      <c r="A24" t="s">
        <v>63</v>
      </c>
      <c r="B24" t="s">
        <v>64</v>
      </c>
      <c r="C24" s="2">
        <f>0.518965517241379</f>
        <v>0.51896551724137896</v>
      </c>
      <c r="D24" s="2">
        <f>0.826923076923077</f>
        <v>0.82692307692307698</v>
      </c>
      <c r="E24" s="2">
        <f>0.737888702767901</f>
        <v>0.73788870276790097</v>
      </c>
      <c r="F24" s="2">
        <f>ROUND(Notes!$B$4*D24+Notes!$B$5*C24+Notes!$B$6*E24,4)</f>
        <v>0.68689999999999996</v>
      </c>
      <c r="G24" s="3">
        <f>RANK(F24,F$5:F$42,0)</f>
        <v>20</v>
      </c>
      <c r="H24" s="2">
        <f>C24</f>
        <v>0.51896551724137896</v>
      </c>
      <c r="I24" s="2">
        <f>D24</f>
        <v>0.82692307692307698</v>
      </c>
      <c r="J24" s="2">
        <f>E24</f>
        <v>0.73788870276790097</v>
      </c>
      <c r="K24" s="2">
        <f>ROUND(Notes!$B$4*I24+Notes!$B$5*H24+Notes!$B$6*J24,4)</f>
        <v>0.68689999999999996</v>
      </c>
      <c r="L24" s="3">
        <f>RANK(K24,K$5:K$42,0)</f>
        <v>20</v>
      </c>
    </row>
    <row r="25" spans="1:12" x14ac:dyDescent="0.45">
      <c r="A25" t="s">
        <v>65</v>
      </c>
      <c r="B25" t="s">
        <v>66</v>
      </c>
      <c r="C25" s="2">
        <f>0.391406012913837</f>
        <v>0.39140601291383698</v>
      </c>
      <c r="D25" s="2">
        <f>0.876514043282575</f>
        <v>0.87651404328257498</v>
      </c>
      <c r="E25" s="2">
        <f>0.869865253929667</f>
        <v>0.86986525392966696</v>
      </c>
      <c r="F25" s="2">
        <f>ROUND(Notes!$B$4*D25+Notes!$B$5*C25+Notes!$B$6*E25,4)</f>
        <v>0.67579999999999996</v>
      </c>
      <c r="G25" s="3">
        <f>RANK(F25,F$5:F$42,0)</f>
        <v>21</v>
      </c>
      <c r="H25" s="2">
        <f>C25</f>
        <v>0.39140601291383698</v>
      </c>
      <c r="I25" s="2">
        <f>D25</f>
        <v>0.87651404328257498</v>
      </c>
      <c r="J25" s="2">
        <f>E25</f>
        <v>0.86986525392966696</v>
      </c>
      <c r="K25" s="2">
        <f>ROUND(Notes!$B$4*I25+Notes!$B$5*H25+Notes!$B$6*J25,4)</f>
        <v>0.67579999999999996</v>
      </c>
      <c r="L25" s="3">
        <f>RANK(K25,K$5:K$42,0)</f>
        <v>21</v>
      </c>
    </row>
    <row r="26" spans="1:12" x14ac:dyDescent="0.45">
      <c r="A26" t="s">
        <v>67</v>
      </c>
      <c r="B26" t="s">
        <v>68</v>
      </c>
      <c r="C26" s="2">
        <f>0.408845614108812</f>
        <v>0.40884561410881198</v>
      </c>
      <c r="D26" s="2">
        <f>0.884365027341364</f>
        <v>0.88436502734136402</v>
      </c>
      <c r="E26" s="2">
        <f>0.737888702767901</f>
        <v>0.73788870276790097</v>
      </c>
      <c r="F26" s="2">
        <f>ROUND(Notes!$B$4*D26+Notes!$B$5*C26+Notes!$B$6*E26,4)</f>
        <v>0.66679999999999995</v>
      </c>
      <c r="G26" s="3">
        <f>RANK(F26,F$5:F$42,0)</f>
        <v>22</v>
      </c>
      <c r="H26" s="2">
        <f>C26</f>
        <v>0.40884561410881198</v>
      </c>
      <c r="I26" s="2">
        <f>D26</f>
        <v>0.88436502734136402</v>
      </c>
      <c r="J26" s="2">
        <f>E26</f>
        <v>0.73788870276790097</v>
      </c>
      <c r="K26" s="2">
        <f>ROUND(Notes!$B$4*I26+Notes!$B$5*H26+Notes!$B$6*J26,4)</f>
        <v>0.66679999999999995</v>
      </c>
      <c r="L26" s="3">
        <f>RANK(K26,K$5:K$42,0)</f>
        <v>22</v>
      </c>
    </row>
    <row r="27" spans="1:12" x14ac:dyDescent="0.45">
      <c r="A27" t="s">
        <v>69</v>
      </c>
      <c r="B27" t="s">
        <v>70</v>
      </c>
      <c r="C27" s="2">
        <f>0.431068736527055</f>
        <v>0.43106873652705502</v>
      </c>
      <c r="D27" s="2">
        <f>0.864149148541634</f>
        <v>0.86414914854163405</v>
      </c>
      <c r="E27" s="2">
        <f>0.69441435606903</f>
        <v>0.69441435606903001</v>
      </c>
      <c r="F27" s="2">
        <f>ROUND(Notes!$B$4*D27+Notes!$B$5*C27+Notes!$B$6*E27,4)</f>
        <v>0.66049999999999998</v>
      </c>
      <c r="G27" s="3">
        <f>RANK(F27,F$5:F$42,0)</f>
        <v>23</v>
      </c>
      <c r="H27" s="2">
        <f>C27</f>
        <v>0.43106873652705502</v>
      </c>
      <c r="I27" s="2">
        <f>D27</f>
        <v>0.86414914854163405</v>
      </c>
      <c r="J27" s="2">
        <f>E27</f>
        <v>0.69441435606903001</v>
      </c>
      <c r="K27" s="2">
        <f>ROUND(Notes!$B$4*I27+Notes!$B$5*H27+Notes!$B$6*J27,4)</f>
        <v>0.66049999999999998</v>
      </c>
      <c r="L27" s="3">
        <f>RANK(K27,K$5:K$42,0)</f>
        <v>23</v>
      </c>
    </row>
    <row r="28" spans="1:12" x14ac:dyDescent="0.45">
      <c r="A28" t="s">
        <v>71</v>
      </c>
      <c r="B28" t="s">
        <v>72</v>
      </c>
      <c r="C28" s="2">
        <f>0.391406012913837</f>
        <v>0.39140601291383698</v>
      </c>
      <c r="D28" s="2">
        <f>0.869865253929667</f>
        <v>0.86986525392966696</v>
      </c>
      <c r="E28" s="2">
        <f>0.737888702767901</f>
        <v>0.73788870276790097</v>
      </c>
      <c r="F28" s="2">
        <f>ROUND(Notes!$B$4*D28+Notes!$B$5*C28+Notes!$B$6*E28,4)</f>
        <v>0.6532</v>
      </c>
      <c r="G28" s="3">
        <f>RANK(F28,F$5:F$42,0)</f>
        <v>24</v>
      </c>
      <c r="H28" s="2">
        <f>C28</f>
        <v>0.39140601291383698</v>
      </c>
      <c r="I28" s="2">
        <f>D28</f>
        <v>0.86986525392966696</v>
      </c>
      <c r="J28" s="2">
        <f>E28</f>
        <v>0.73788870276790097</v>
      </c>
      <c r="K28" s="2">
        <f>ROUND(Notes!$B$4*I28+Notes!$B$5*H28+Notes!$B$6*J28,4)</f>
        <v>0.6532</v>
      </c>
      <c r="L28" s="3">
        <f>RANK(K28,K$5:K$42,0)</f>
        <v>24</v>
      </c>
    </row>
    <row r="29" spans="1:12" x14ac:dyDescent="0.45">
      <c r="A29" t="s">
        <v>73</v>
      </c>
      <c r="B29" t="s">
        <v>74</v>
      </c>
      <c r="C29" s="2">
        <f>0.479318672008477</f>
        <v>0.479318672008477</v>
      </c>
      <c r="D29" s="2">
        <f>0.851484971473245</f>
        <v>0.85148497147324498</v>
      </c>
      <c r="E29" s="2">
        <f>0.547953910556565</f>
        <v>0.54795391055656495</v>
      </c>
      <c r="F29" s="2">
        <f>ROUND(Notes!$B$4*D29+Notes!$B$5*C29+Notes!$B$6*E29,4)</f>
        <v>0.65300000000000002</v>
      </c>
      <c r="G29" s="3">
        <f>RANK(F29,F$5:F$42,0)</f>
        <v>25</v>
      </c>
      <c r="H29" s="2">
        <f>C29</f>
        <v>0.479318672008477</v>
      </c>
      <c r="I29" s="2">
        <f>D29</f>
        <v>0.85148497147324498</v>
      </c>
      <c r="J29" s="2">
        <f>E29</f>
        <v>0.54795391055656495</v>
      </c>
      <c r="K29" s="2">
        <f>ROUND(Notes!$B$4*I29+Notes!$B$5*H29+Notes!$B$6*J29,4)</f>
        <v>0.65300000000000002</v>
      </c>
      <c r="L29" s="3">
        <f>RANK(K29,K$5:K$42,0)</f>
        <v>25</v>
      </c>
    </row>
    <row r="30" spans="1:12" x14ac:dyDescent="0.45">
      <c r="A30" t="s">
        <v>75</v>
      </c>
      <c r="B30" t="s">
        <v>76</v>
      </c>
      <c r="C30" s="2">
        <f>0.391406012913837</f>
        <v>0.39140601291383698</v>
      </c>
      <c r="D30" s="2">
        <f>0.826923076923077</f>
        <v>0.82692307692307698</v>
      </c>
      <c r="E30" s="2">
        <f>0.81340644290143</f>
        <v>0.81340644290143005</v>
      </c>
      <c r="F30" s="2">
        <f>ROUND(Notes!$B$4*D30+Notes!$B$5*C30+Notes!$B$6*E30,4)</f>
        <v>0.64559999999999995</v>
      </c>
      <c r="G30" s="3">
        <f>RANK(F30,F$5:F$42,0)</f>
        <v>26</v>
      </c>
      <c r="H30" s="2">
        <f>C30</f>
        <v>0.39140601291383698</v>
      </c>
      <c r="I30" s="2">
        <f>D30</f>
        <v>0.82692307692307698</v>
      </c>
      <c r="J30" s="2">
        <f>E30</f>
        <v>0.81340644290143005</v>
      </c>
      <c r="K30" s="2">
        <f>ROUND(Notes!$B$4*I30+Notes!$B$5*H30+Notes!$B$6*J30,4)</f>
        <v>0.64559999999999995</v>
      </c>
      <c r="L30" s="3">
        <f>RANK(K30,K$5:K$42,0)</f>
        <v>26</v>
      </c>
    </row>
    <row r="31" spans="1:12" x14ac:dyDescent="0.45">
      <c r="A31" t="s">
        <v>77</v>
      </c>
      <c r="B31" t="s">
        <v>78</v>
      </c>
      <c r="C31" s="2">
        <f>0.479318672008477</f>
        <v>0.479318672008477</v>
      </c>
      <c r="D31" s="2">
        <f>0.787075165170195</f>
        <v>0.78707516517019505</v>
      </c>
      <c r="E31" s="2">
        <f>0.646263719038607</f>
        <v>0.64626371903860702</v>
      </c>
      <c r="F31" s="2">
        <f>ROUND(Notes!$B$4*D31+Notes!$B$5*C31+Notes!$B$6*E31,4)</f>
        <v>0.63939999999999997</v>
      </c>
      <c r="G31" s="3">
        <f>RANK(F31,F$5:F$42,0)</f>
        <v>27</v>
      </c>
      <c r="H31" s="2">
        <f>C31</f>
        <v>0.479318672008477</v>
      </c>
      <c r="I31" s="2">
        <f>D31</f>
        <v>0.78707516517019505</v>
      </c>
      <c r="J31" s="2">
        <f>E31</f>
        <v>0.64626371903860702</v>
      </c>
      <c r="K31" s="2">
        <f>ROUND(Notes!$B$4*I31+Notes!$B$5*H31+Notes!$B$6*J31,4)</f>
        <v>0.63939999999999997</v>
      </c>
      <c r="L31" s="3">
        <f>RANK(K31,K$5:K$42,0)</f>
        <v>27</v>
      </c>
    </row>
    <row r="32" spans="1:12" x14ac:dyDescent="0.45">
      <c r="A32" t="s">
        <v>79</v>
      </c>
      <c r="B32" t="s">
        <v>80</v>
      </c>
      <c r="C32" s="2">
        <f>0.479318672008477</f>
        <v>0.479318672008477</v>
      </c>
      <c r="D32" s="2">
        <f>0.737888702767901</f>
        <v>0.73788870276790097</v>
      </c>
      <c r="E32" s="2">
        <f>0.737888702767901</f>
        <v>0.73788870276790097</v>
      </c>
      <c r="F32" s="2">
        <f>ROUND(Notes!$B$4*D32+Notes!$B$5*C32+Notes!$B$6*E32,4)</f>
        <v>0.63139999999999996</v>
      </c>
      <c r="G32" s="3">
        <f>RANK(F32,F$5:F$42,0)</f>
        <v>28</v>
      </c>
      <c r="H32" s="2">
        <f>C32</f>
        <v>0.479318672008477</v>
      </c>
      <c r="I32" s="2">
        <f>D32</f>
        <v>0.73788870276790097</v>
      </c>
      <c r="J32" s="2">
        <f>E32</f>
        <v>0.73788870276790097</v>
      </c>
      <c r="K32" s="2">
        <f>ROUND(Notes!$B$4*I32+Notes!$B$5*H32+Notes!$B$6*J32,4)</f>
        <v>0.63139999999999996</v>
      </c>
      <c r="L32" s="3">
        <f>RANK(K32,K$5:K$42,0)</f>
        <v>28</v>
      </c>
    </row>
    <row r="33" spans="1:12" x14ac:dyDescent="0.45">
      <c r="A33" t="s">
        <v>81</v>
      </c>
      <c r="B33" t="s">
        <v>82</v>
      </c>
      <c r="C33" s="2">
        <f>0.338474732816403</f>
        <v>0.338474732816403</v>
      </c>
      <c r="D33" s="2">
        <f>0.813463195231154</f>
        <v>0.81346319523115396</v>
      </c>
      <c r="E33" s="2">
        <f>0.869865253929667</f>
        <v>0.86986525392966696</v>
      </c>
      <c r="F33" s="2">
        <f>ROUND(Notes!$B$4*D33+Notes!$B$5*C33+Notes!$B$6*E33,4)</f>
        <v>0.62629999999999997</v>
      </c>
      <c r="G33" s="3">
        <f>RANK(F33,F$5:F$42,0)</f>
        <v>29</v>
      </c>
      <c r="H33" s="2">
        <f>C33</f>
        <v>0.338474732816403</v>
      </c>
      <c r="I33" s="2">
        <f>D33</f>
        <v>0.81346319523115396</v>
      </c>
      <c r="J33" s="2">
        <f>E33</f>
        <v>0.86986525392966696</v>
      </c>
      <c r="K33" s="2">
        <f>ROUND(Notes!$B$4*I33+Notes!$B$5*H33+Notes!$B$6*J33,4)</f>
        <v>0.62629999999999997</v>
      </c>
      <c r="L33" s="3">
        <f>RANK(K33,K$5:K$42,0)</f>
        <v>29</v>
      </c>
    </row>
    <row r="34" spans="1:12" x14ac:dyDescent="0.45">
      <c r="A34" t="s">
        <v>83</v>
      </c>
      <c r="B34" t="s">
        <v>84</v>
      </c>
      <c r="C34" s="2">
        <f>0.391406012913837</f>
        <v>0.39140601291383698</v>
      </c>
      <c r="D34" s="2">
        <f>0.778563038959402</f>
        <v>0.77856303895940204</v>
      </c>
      <c r="E34" s="2">
        <f>0.737888702767901</f>
        <v>0.73788870276790097</v>
      </c>
      <c r="F34" s="2">
        <f>ROUND(Notes!$B$4*D34+Notes!$B$5*C34+Notes!$B$6*E34,4)</f>
        <v>0.61309999999999998</v>
      </c>
      <c r="G34" s="3">
        <f>RANK(F34,F$5:F$42,0)</f>
        <v>30</v>
      </c>
      <c r="H34" s="2">
        <f>C34</f>
        <v>0.39140601291383698</v>
      </c>
      <c r="I34" s="2">
        <f>D34</f>
        <v>0.77856303895940204</v>
      </c>
      <c r="J34" s="2">
        <f>E34</f>
        <v>0.73788870276790097</v>
      </c>
      <c r="K34" s="2">
        <f>ROUND(Notes!$B$4*I34+Notes!$B$5*H34+Notes!$B$6*J34,4)</f>
        <v>0.61309999999999998</v>
      </c>
      <c r="L34" s="3">
        <f>RANK(K34,K$5:K$42,0)</f>
        <v>30</v>
      </c>
    </row>
    <row r="35" spans="1:12" x14ac:dyDescent="0.45">
      <c r="A35" t="s">
        <v>85</v>
      </c>
      <c r="B35" t="s">
        <v>86</v>
      </c>
      <c r="C35" s="2">
        <f>0.278958448750364</f>
        <v>0.27895844875036402</v>
      </c>
      <c r="D35" s="2">
        <f>0.859028659709284</f>
        <v>0.85902865970928399</v>
      </c>
      <c r="E35" s="2">
        <f>0.787075165170195</f>
        <v>0.78707516517019505</v>
      </c>
      <c r="F35" s="2">
        <f>ROUND(Notes!$B$4*D35+Notes!$B$5*C35+Notes!$B$6*E35,4)</f>
        <v>0.60950000000000004</v>
      </c>
      <c r="G35" s="3">
        <f>RANK(F35,F$5:F$42,0)</f>
        <v>31</v>
      </c>
      <c r="H35" s="2">
        <f>C35</f>
        <v>0.27895844875036402</v>
      </c>
      <c r="I35" s="2">
        <f>D35</f>
        <v>0.85902865970928399</v>
      </c>
      <c r="J35" s="2">
        <f>E35</f>
        <v>0.78707516517019505</v>
      </c>
      <c r="K35" s="2">
        <f>ROUND(Notes!$B$4*I35+Notes!$B$5*H35+Notes!$B$6*J35,4)</f>
        <v>0.60950000000000004</v>
      </c>
      <c r="L35" s="3">
        <f>RANK(K35,K$5:K$42,0)</f>
        <v>31</v>
      </c>
    </row>
    <row r="36" spans="1:12" x14ac:dyDescent="0.45">
      <c r="A36" t="s">
        <v>87</v>
      </c>
      <c r="B36" t="s">
        <v>88</v>
      </c>
      <c r="C36" s="2">
        <f>0.373913043478261</f>
        <v>0.37391304347826099</v>
      </c>
      <c r="D36" s="2">
        <f>0.781818181818182</f>
        <v>0.78181818181818197</v>
      </c>
      <c r="E36" s="2">
        <f>0.737888702767901</f>
        <v>0.73788870276790097</v>
      </c>
      <c r="F36" s="2">
        <f>ROUND(Notes!$B$4*D36+Notes!$B$5*C36+Notes!$B$6*E36,4)</f>
        <v>0.60729999999999995</v>
      </c>
      <c r="G36" s="3">
        <f>RANK(F36,F$5:F$42,0)</f>
        <v>32</v>
      </c>
      <c r="H36" s="2">
        <f>C36</f>
        <v>0.37391304347826099</v>
      </c>
      <c r="I36" s="2">
        <f>D36</f>
        <v>0.78181818181818197</v>
      </c>
      <c r="J36" s="2">
        <f>E36</f>
        <v>0.73788870276790097</v>
      </c>
      <c r="K36" s="2">
        <f>ROUND(Notes!$B$4*I36+Notes!$B$5*H36+Notes!$B$6*J36,4)</f>
        <v>0.60729999999999995</v>
      </c>
      <c r="L36" s="3">
        <f>RANK(K36,K$5:K$42,0)</f>
        <v>32</v>
      </c>
    </row>
    <row r="37" spans="1:12" x14ac:dyDescent="0.45">
      <c r="A37" t="s">
        <v>89</v>
      </c>
      <c r="B37" t="s">
        <v>90</v>
      </c>
      <c r="C37" s="2">
        <f>0.338474732816403</f>
        <v>0.338474732816403</v>
      </c>
      <c r="D37" s="2">
        <f>0.737888702767901</f>
        <v>0.73788870276790097</v>
      </c>
      <c r="E37" s="2">
        <f>0.869865253929667</f>
        <v>0.86986525392966696</v>
      </c>
      <c r="F37" s="2">
        <f>ROUND(Notes!$B$4*D37+Notes!$B$5*C37+Notes!$B$6*E37,4)</f>
        <v>0.59319999999999995</v>
      </c>
      <c r="G37" s="3">
        <f>RANK(F37,F$5:F$42,0)</f>
        <v>33</v>
      </c>
      <c r="H37" s="2">
        <f>C37</f>
        <v>0.338474732816403</v>
      </c>
      <c r="I37" s="2">
        <f>D37</f>
        <v>0.73788870276790097</v>
      </c>
      <c r="J37" s="2">
        <f>E37</f>
        <v>0.86986525392966696</v>
      </c>
      <c r="K37" s="2">
        <f>ROUND(Notes!$B$4*I37+Notes!$B$5*H37+Notes!$B$6*J37,4)</f>
        <v>0.59319999999999995</v>
      </c>
      <c r="L37" s="3">
        <f>RANK(K37,K$5:K$42,0)</f>
        <v>33</v>
      </c>
    </row>
    <row r="38" spans="1:12" x14ac:dyDescent="0.45">
      <c r="A38" t="s">
        <v>91</v>
      </c>
      <c r="B38" t="s">
        <v>92</v>
      </c>
      <c r="C38" s="2">
        <f>0.278958448750364</f>
        <v>0.27895844875036402</v>
      </c>
      <c r="D38" s="2">
        <f>0.822456690745778</f>
        <v>0.82245669074577799</v>
      </c>
      <c r="E38" s="2">
        <f>0.737888702767901</f>
        <v>0.73788870276790097</v>
      </c>
      <c r="F38" s="2">
        <f>ROUND(Notes!$B$4*D38+Notes!$B$5*C38+Notes!$B$6*E38,4)</f>
        <v>0.58609999999999995</v>
      </c>
      <c r="G38" s="3">
        <f>RANK(F38,F$5:F$42,0)</f>
        <v>34</v>
      </c>
      <c r="H38" s="2">
        <f>C38</f>
        <v>0.27895844875036402</v>
      </c>
      <c r="I38" s="2">
        <f>D38</f>
        <v>0.82245669074577799</v>
      </c>
      <c r="J38" s="2">
        <f>E38</f>
        <v>0.73788870276790097</v>
      </c>
      <c r="K38" s="2">
        <f>ROUND(Notes!$B$4*I38+Notes!$B$5*H38+Notes!$B$6*J38,4)</f>
        <v>0.58609999999999995</v>
      </c>
      <c r="L38" s="3">
        <f>RANK(K38,K$5:K$42,0)</f>
        <v>34</v>
      </c>
    </row>
    <row r="39" spans="1:12" x14ac:dyDescent="0.45">
      <c r="A39" t="s">
        <v>93</v>
      </c>
      <c r="B39" t="s">
        <v>94</v>
      </c>
      <c r="C39" s="2">
        <f>0.278958448750364</f>
        <v>0.27895844875036402</v>
      </c>
      <c r="D39" s="2">
        <f>0.816200383417959</f>
        <v>0.81620038341795897</v>
      </c>
      <c r="E39" s="2">
        <f>0.737888702767901</f>
        <v>0.73788870276790097</v>
      </c>
      <c r="F39" s="2">
        <f>ROUND(Notes!$B$4*D39+Notes!$B$5*C39+Notes!$B$6*E39,4)</f>
        <v>0.58340000000000003</v>
      </c>
      <c r="G39" s="3">
        <f>RANK(F39,F$5:F$42,0)</f>
        <v>35</v>
      </c>
      <c r="H39" s="2">
        <f>C39</f>
        <v>0.27895844875036402</v>
      </c>
      <c r="I39" s="2">
        <f>D39</f>
        <v>0.81620038341795897</v>
      </c>
      <c r="J39" s="2">
        <f>E39</f>
        <v>0.73788870276790097</v>
      </c>
      <c r="K39" s="2">
        <f>ROUND(Notes!$B$4*I39+Notes!$B$5*H39+Notes!$B$6*J39,4)</f>
        <v>0.58340000000000003</v>
      </c>
      <c r="L39" s="3">
        <f>RANK(K39,K$5:K$42,0)</f>
        <v>35</v>
      </c>
    </row>
    <row r="40" spans="1:12" x14ac:dyDescent="0.45">
      <c r="A40" t="s">
        <v>95</v>
      </c>
      <c r="B40" t="s">
        <v>96</v>
      </c>
      <c r="C40" s="2">
        <f>0.305956530933891</f>
        <v>0.30595653093389102</v>
      </c>
      <c r="D40" s="2">
        <f>0.737888702767901</f>
        <v>0.73788870276790097</v>
      </c>
      <c r="E40" s="2">
        <f>0.869865253929667</f>
        <v>0.86986525392966696</v>
      </c>
      <c r="F40" s="2">
        <f>ROUND(Notes!$B$4*D40+Notes!$B$5*C40+Notes!$B$6*E40,4)</f>
        <v>0.57979999999999998</v>
      </c>
      <c r="G40" s="3">
        <f>RANK(F40,F$5:F$42,0)</f>
        <v>36</v>
      </c>
      <c r="H40" s="2">
        <f>C40</f>
        <v>0.30595653093389102</v>
      </c>
      <c r="I40" s="2">
        <f>D40</f>
        <v>0.73788870276790097</v>
      </c>
      <c r="J40" s="2">
        <f>E40</f>
        <v>0.86986525392966696</v>
      </c>
      <c r="K40" s="2">
        <f>ROUND(Notes!$B$4*I40+Notes!$B$5*H40+Notes!$B$6*J40,4)</f>
        <v>0.57979999999999998</v>
      </c>
      <c r="L40" s="3">
        <f>RANK(K40,K$5:K$42,0)</f>
        <v>36</v>
      </c>
    </row>
    <row r="41" spans="1:12" x14ac:dyDescent="0.45">
      <c r="A41" t="s">
        <v>97</v>
      </c>
      <c r="B41" t="s">
        <v>98</v>
      </c>
      <c r="C41" s="2">
        <f>0.2</f>
        <v>0.2</v>
      </c>
      <c r="D41" s="2">
        <f>0.74468085106383</f>
        <v>0.74468085106382997</v>
      </c>
      <c r="E41" s="2">
        <f>0.547953910556565</f>
        <v>0.54795391055656495</v>
      </c>
      <c r="F41" s="2">
        <f>ROUND(Notes!$B$4*D41+Notes!$B$5*C41+Notes!$B$6*E41,4)</f>
        <v>0.49109999999999998</v>
      </c>
      <c r="G41" s="3">
        <f>RANK(F41,F$5:F$42,0)</f>
        <v>37</v>
      </c>
      <c r="H41" s="2">
        <f>C41</f>
        <v>0.2</v>
      </c>
      <c r="I41" s="2">
        <f>D41</f>
        <v>0.74468085106382997</v>
      </c>
      <c r="J41" s="2">
        <f>E41</f>
        <v>0.54795391055656495</v>
      </c>
      <c r="K41" s="2">
        <f>ROUND(Notes!$B$4*I41+Notes!$B$5*H41+Notes!$B$6*J41,4)</f>
        <v>0.49109999999999998</v>
      </c>
      <c r="L41" s="3">
        <f>RANK(K41,K$5:K$42,0)</f>
        <v>37</v>
      </c>
    </row>
    <row r="42" spans="1:12" x14ac:dyDescent="0.45">
      <c r="A42" t="s">
        <v>99</v>
      </c>
      <c r="B42" t="s">
        <v>100</v>
      </c>
      <c r="C42" s="2">
        <f>0.42321653857669</f>
        <v>0.42321653857669</v>
      </c>
      <c r="D42" s="2">
        <f>0.705977756078566</f>
        <v>0.70597775607856605</v>
      </c>
      <c r="E42" s="2">
        <f>0</f>
        <v>0</v>
      </c>
      <c r="F42" s="2">
        <f>ROUND(Notes!$B$4*D42+Notes!$B$5*C42+Notes!$B$6*E42,4)</f>
        <v>0.48420000000000002</v>
      </c>
      <c r="G42" s="3">
        <f>RANK(F42,F$5:F$42,0)</f>
        <v>38</v>
      </c>
      <c r="H42" s="2">
        <f>C42</f>
        <v>0.42321653857669</v>
      </c>
      <c r="I42" s="2">
        <f>D42</f>
        <v>0.70597775607856605</v>
      </c>
      <c r="J42" s="2">
        <f>E42</f>
        <v>0</v>
      </c>
      <c r="K42" s="2">
        <f>ROUND(Notes!$B$4*I42+Notes!$B$5*H42+Notes!$B$6*J42,4)</f>
        <v>0.48420000000000002</v>
      </c>
      <c r="L42" s="3">
        <f>RANK(K42,K$5:K$42,0)</f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D142-DCDE-4D96-858E-F4B68FF733A2}">
  <dimension ref="A1:L42"/>
  <sheetViews>
    <sheetView workbookViewId="0"/>
  </sheetViews>
  <sheetFormatPr defaultRowHeight="14.25" x14ac:dyDescent="0.45"/>
  <cols>
    <col min="1" max="1" width="20.59765625" customWidth="1"/>
    <col min="3" max="12" width="13.59765625" customWidth="1"/>
  </cols>
  <sheetData>
    <row r="1" spans="1:12" x14ac:dyDescent="0.45">
      <c r="A1" s="1" t="s">
        <v>101</v>
      </c>
    </row>
    <row r="2" spans="1:12" x14ac:dyDescent="0.45">
      <c r="A2" t="s">
        <v>12</v>
      </c>
    </row>
    <row r="4" spans="1:12" x14ac:dyDescent="0.45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</row>
    <row r="5" spans="1:12" x14ac:dyDescent="0.45">
      <c r="A5" t="s">
        <v>25</v>
      </c>
      <c r="B5" t="s">
        <v>26</v>
      </c>
      <c r="C5" s="2">
        <f>1</f>
        <v>1</v>
      </c>
      <c r="D5" s="2">
        <f>1</f>
        <v>1</v>
      </c>
      <c r="E5" s="2">
        <f>1</f>
        <v>1</v>
      </c>
      <c r="F5" s="2">
        <f>ROUND(Notes!$B$4*D5+Notes!$B$5*C5+Notes!$B$6*E5,4)</f>
        <v>1</v>
      </c>
      <c r="G5" s="3">
        <f>RANK(F5,F$5:F$42,0)</f>
        <v>1</v>
      </c>
      <c r="H5" s="2">
        <f>C5</f>
        <v>1</v>
      </c>
      <c r="I5" s="2">
        <f>D5</f>
        <v>1</v>
      </c>
      <c r="J5" s="2">
        <f>E5</f>
        <v>1</v>
      </c>
      <c r="K5" s="2">
        <f>ROUND(Notes!$B$4*I5+Notes!$B$5*H5+Notes!$B$6*J5,4)</f>
        <v>1</v>
      </c>
      <c r="L5" s="3">
        <f>RANK(K5,K$5:K$42,0)</f>
        <v>1</v>
      </c>
    </row>
    <row r="6" spans="1:12" x14ac:dyDescent="0.45">
      <c r="A6" t="s">
        <v>27</v>
      </c>
      <c r="B6" t="s">
        <v>28</v>
      </c>
      <c r="C6" s="2">
        <f>1</f>
        <v>1</v>
      </c>
      <c r="D6" s="2">
        <f>1</f>
        <v>1</v>
      </c>
      <c r="E6" s="2">
        <f>1</f>
        <v>1</v>
      </c>
      <c r="F6" s="2">
        <f>ROUND(Notes!$B$4*D6+Notes!$B$5*C6+Notes!$B$6*E6,4)</f>
        <v>1</v>
      </c>
      <c r="G6" s="3">
        <f>RANK(F6,F$5:F$42,0)</f>
        <v>1</v>
      </c>
      <c r="H6" s="2">
        <f>C6</f>
        <v>1</v>
      </c>
      <c r="I6" s="2">
        <f>D6</f>
        <v>1</v>
      </c>
      <c r="J6" s="2">
        <f>E6</f>
        <v>1</v>
      </c>
      <c r="K6" s="2">
        <f>ROUND(Notes!$B$4*I6+Notes!$B$5*H6+Notes!$B$6*J6,4)</f>
        <v>1</v>
      </c>
      <c r="L6" s="3">
        <f>RANK(K6,K$5:K$42,0)</f>
        <v>1</v>
      </c>
    </row>
    <row r="7" spans="1:12" x14ac:dyDescent="0.45">
      <c r="A7" t="s">
        <v>29</v>
      </c>
      <c r="B7" t="s">
        <v>30</v>
      </c>
      <c r="C7" s="2">
        <f>1</f>
        <v>1</v>
      </c>
      <c r="D7" s="2">
        <f>1</f>
        <v>1</v>
      </c>
      <c r="E7" s="2">
        <f>0.632751338890881</f>
        <v>0.63275133889088098</v>
      </c>
      <c r="F7" s="2">
        <f>ROUND(Notes!$B$4*D7+Notes!$B$5*C7+Notes!$B$6*E7,4)</f>
        <v>0.94520000000000004</v>
      </c>
      <c r="G7" s="3">
        <f>RANK(F7,F$5:F$42,0)</f>
        <v>3</v>
      </c>
      <c r="H7" s="2">
        <f>C7</f>
        <v>1</v>
      </c>
      <c r="I7" s="2">
        <f>D7</f>
        <v>1</v>
      </c>
      <c r="J7" s="2">
        <f>E7</f>
        <v>0.63275133889088098</v>
      </c>
      <c r="K7" s="2">
        <f>ROUND(Notes!$B$4*I7+Notes!$B$5*H7+Notes!$B$6*J7,4)</f>
        <v>0.94520000000000004</v>
      </c>
      <c r="L7" s="3">
        <f>RANK(K7,K$5:K$42,0)</f>
        <v>3</v>
      </c>
    </row>
    <row r="8" spans="1:12" x14ac:dyDescent="0.45">
      <c r="A8" t="s">
        <v>31</v>
      </c>
      <c r="B8" t="s">
        <v>32</v>
      </c>
      <c r="C8" s="2">
        <f>0.826923076923077</f>
        <v>0.82692307692307698</v>
      </c>
      <c r="D8" s="2">
        <f>1</f>
        <v>1</v>
      </c>
      <c r="E8" s="2">
        <f>1</f>
        <v>1</v>
      </c>
      <c r="F8" s="2">
        <f>ROUND(Notes!$B$4*D8+Notes!$B$5*C8+Notes!$B$6*E8,4)</f>
        <v>0.92879999999999996</v>
      </c>
      <c r="G8" s="3">
        <f>RANK(F8,F$5:F$42,0)</f>
        <v>4</v>
      </c>
      <c r="H8" s="2">
        <f>C8</f>
        <v>0.82692307692307698</v>
      </c>
      <c r="I8" s="2">
        <f>D8</f>
        <v>1</v>
      </c>
      <c r="J8" s="2">
        <f>E8</f>
        <v>1</v>
      </c>
      <c r="K8" s="2">
        <f>ROUND(Notes!$B$4*I8+Notes!$B$5*H8+Notes!$B$6*J8,4)</f>
        <v>0.92879999999999996</v>
      </c>
      <c r="L8" s="3">
        <f>RANK(K8,K$5:K$42,0)</f>
        <v>4</v>
      </c>
    </row>
    <row r="9" spans="1:12" x14ac:dyDescent="0.45">
      <c r="A9" t="s">
        <v>33</v>
      </c>
      <c r="B9" t="s">
        <v>34</v>
      </c>
      <c r="C9" s="2">
        <f>0.635714285714286</f>
        <v>0.63571428571428601</v>
      </c>
      <c r="D9" s="2">
        <f>1</f>
        <v>1</v>
      </c>
      <c r="E9" s="2">
        <f>0.43</f>
        <v>0.43</v>
      </c>
      <c r="F9" s="2">
        <f>ROUND(Notes!$B$4*D9+Notes!$B$5*C9+Notes!$B$6*E9,4)</f>
        <v>0.76500000000000001</v>
      </c>
      <c r="G9" s="3">
        <f>RANK(F9,F$5:F$42,0)</f>
        <v>5</v>
      </c>
      <c r="H9" s="2">
        <f>1</f>
        <v>1</v>
      </c>
      <c r="I9" s="2">
        <f>1</f>
        <v>1</v>
      </c>
      <c r="J9" s="2">
        <f>E9</f>
        <v>0.43</v>
      </c>
      <c r="K9" s="2">
        <f>ROUND(Notes!$B$4*I9+Notes!$B$5*H9+Notes!$B$6*J9,4)</f>
        <v>0.91490000000000005</v>
      </c>
      <c r="L9" s="3">
        <f>RANK(K9,K$5:K$42,0)</f>
        <v>5</v>
      </c>
    </row>
    <row r="10" spans="1:12" x14ac:dyDescent="0.45">
      <c r="A10" t="s">
        <v>35</v>
      </c>
      <c r="B10" t="s">
        <v>36</v>
      </c>
      <c r="C10" s="2">
        <f>0.576669379707147</f>
        <v>0.57666937970714705</v>
      </c>
      <c r="D10" s="2">
        <f>0.869865253929667</f>
        <v>0.86986525392966696</v>
      </c>
      <c r="E10" s="2">
        <f>0.965116279069767</f>
        <v>0.96511627906976705</v>
      </c>
      <c r="F10" s="2">
        <f>ROUND(Notes!$B$4*D10+Notes!$B$5*C10+Notes!$B$6*E10,4)</f>
        <v>0.76339999999999997</v>
      </c>
      <c r="G10" s="3">
        <f>RANK(F10,F$5:F$42,0)</f>
        <v>6</v>
      </c>
      <c r="H10" s="2">
        <f>C10</f>
        <v>0.57666937970714705</v>
      </c>
      <c r="I10" s="2">
        <f>D10</f>
        <v>0.86986525392966696</v>
      </c>
      <c r="J10" s="2">
        <f>E10</f>
        <v>0.96511627906976705</v>
      </c>
      <c r="K10" s="2">
        <f>ROUND(Notes!$B$4*I10+Notes!$B$5*H10+Notes!$B$6*J10,4)</f>
        <v>0.76339999999999997</v>
      </c>
      <c r="L10" s="3">
        <f>RANK(K10,K$5:K$42,0)</f>
        <v>6</v>
      </c>
    </row>
    <row r="11" spans="1:12" x14ac:dyDescent="0.45">
      <c r="A11" t="s">
        <v>37</v>
      </c>
      <c r="B11" t="s">
        <v>38</v>
      </c>
      <c r="C11" s="2">
        <f>0.547953910556565</f>
        <v>0.54795391055656495</v>
      </c>
      <c r="D11" s="2">
        <f>0.921720532319392</f>
        <v>0.92172053231939199</v>
      </c>
      <c r="E11" s="2">
        <f>0.813463195231154</f>
        <v>0.81346319523115396</v>
      </c>
      <c r="F11" s="2">
        <f>ROUND(Notes!$B$4*D11+Notes!$B$5*C11+Notes!$B$6*E11,4)</f>
        <v>0.75170000000000003</v>
      </c>
      <c r="G11" s="3">
        <f>RANK(F11,F$5:F$42,0)</f>
        <v>7</v>
      </c>
      <c r="H11" s="2">
        <f>C11</f>
        <v>0.54795391055656495</v>
      </c>
      <c r="I11" s="2">
        <f>D11</f>
        <v>0.92172053231939199</v>
      </c>
      <c r="J11" s="2">
        <f>E11</f>
        <v>0.81346319523115396</v>
      </c>
      <c r="K11" s="2">
        <f>ROUND(Notes!$B$4*I11+Notes!$B$5*H11+Notes!$B$6*J11,4)</f>
        <v>0.75170000000000003</v>
      </c>
      <c r="L11" s="3">
        <f>RANK(K11,K$5:K$42,0)</f>
        <v>7</v>
      </c>
    </row>
    <row r="12" spans="1:12" x14ac:dyDescent="0.45">
      <c r="A12" t="s">
        <v>39</v>
      </c>
      <c r="B12" t="s">
        <v>40</v>
      </c>
      <c r="C12" s="2">
        <f>0.602353618717047</f>
        <v>0.60235361871704696</v>
      </c>
      <c r="D12" s="2">
        <f>0.86</f>
        <v>0.86</v>
      </c>
      <c r="E12" s="2">
        <f>0.812269350072009</f>
        <v>0.81226935007200896</v>
      </c>
      <c r="F12" s="2">
        <f>ROUND(Notes!$B$4*D12+Notes!$B$5*C12+Notes!$B$6*E12,4)</f>
        <v>0.74680000000000002</v>
      </c>
      <c r="G12" s="3">
        <f>RANK(F12,F$5:F$42,0)</f>
        <v>8</v>
      </c>
      <c r="H12" s="2">
        <f>C12</f>
        <v>0.60235361871704696</v>
      </c>
      <c r="I12" s="2">
        <f>D12</f>
        <v>0.86</v>
      </c>
      <c r="J12" s="2">
        <f>E12</f>
        <v>0.81226935007200896</v>
      </c>
      <c r="K12" s="2">
        <f>ROUND(Notes!$B$4*I12+Notes!$B$5*H12+Notes!$B$6*J12,4)</f>
        <v>0.74680000000000002</v>
      </c>
      <c r="L12" s="3">
        <f>RANK(K12,K$5:K$42,0)</f>
        <v>8</v>
      </c>
    </row>
    <row r="13" spans="1:12" x14ac:dyDescent="0.45">
      <c r="A13" t="s">
        <v>41</v>
      </c>
      <c r="B13" t="s">
        <v>42</v>
      </c>
      <c r="C13" s="2">
        <f>0.547953910556565</f>
        <v>0.54795391055656495</v>
      </c>
      <c r="D13" s="2">
        <f>0.880275603755891</f>
        <v>0.88027560375589098</v>
      </c>
      <c r="E13" s="2">
        <f>0.869865253929667</f>
        <v>0.86986525392966696</v>
      </c>
      <c r="F13" s="2">
        <f>ROUND(Notes!$B$4*D13+Notes!$B$5*C13+Notes!$B$6*E13,4)</f>
        <v>0.7419</v>
      </c>
      <c r="G13" s="3">
        <f>RANK(F13,F$5:F$42,0)</f>
        <v>9</v>
      </c>
      <c r="H13" s="2">
        <f>C13</f>
        <v>0.54795391055656495</v>
      </c>
      <c r="I13" s="2">
        <f>D13</f>
        <v>0.88027560375589098</v>
      </c>
      <c r="J13" s="2">
        <f>E13</f>
        <v>0.86986525392966696</v>
      </c>
      <c r="K13" s="2">
        <f>ROUND(Notes!$B$4*I13+Notes!$B$5*H13+Notes!$B$6*J13,4)</f>
        <v>0.7419</v>
      </c>
      <c r="L13" s="3">
        <f>RANK(K13,K$5:K$42,0)</f>
        <v>9</v>
      </c>
    </row>
    <row r="14" spans="1:12" x14ac:dyDescent="0.45">
      <c r="A14" t="s">
        <v>43</v>
      </c>
      <c r="B14" t="s">
        <v>44</v>
      </c>
      <c r="C14" s="2">
        <f>0.554838709677419</f>
        <v>0.554838709677419</v>
      </c>
      <c r="D14" s="2">
        <f>0.86</f>
        <v>0.86</v>
      </c>
      <c r="E14" s="2">
        <f>0.905263157894737</f>
        <v>0.90526315789473699</v>
      </c>
      <c r="F14" s="2">
        <f>ROUND(Notes!$B$4*D14+Notes!$B$5*C14+Notes!$B$6*E14,4)</f>
        <v>0.74109999999999998</v>
      </c>
      <c r="G14" s="3">
        <f>RANK(F14,F$5:F$42,0)</f>
        <v>10</v>
      </c>
      <c r="H14" s="2">
        <f>C14</f>
        <v>0.554838709677419</v>
      </c>
      <c r="I14" s="2">
        <f>D14</f>
        <v>0.86</v>
      </c>
      <c r="J14" s="2">
        <f>E14</f>
        <v>0.90526315789473699</v>
      </c>
      <c r="K14" s="2">
        <f>ROUND(Notes!$B$4*I14+Notes!$B$5*H14+Notes!$B$6*J14,4)</f>
        <v>0.74109999999999998</v>
      </c>
      <c r="L14" s="3">
        <f>RANK(K14,K$5:K$42,0)</f>
        <v>10</v>
      </c>
    </row>
    <row r="15" spans="1:12" x14ac:dyDescent="0.45">
      <c r="A15" t="s">
        <v>45</v>
      </c>
      <c r="B15" t="s">
        <v>46</v>
      </c>
      <c r="C15" s="2">
        <f>0.547953910556565</f>
        <v>0.54795391055656495</v>
      </c>
      <c r="D15" s="2">
        <f>0.873879108036537</f>
        <v>0.87387910803653701</v>
      </c>
      <c r="E15" s="2">
        <f>0.869865253929667</f>
        <v>0.86986525392966696</v>
      </c>
      <c r="F15" s="2">
        <f>ROUND(Notes!$B$4*D15+Notes!$B$5*C15+Notes!$B$6*E15,4)</f>
        <v>0.73909999999999998</v>
      </c>
      <c r="G15" s="3">
        <f>RANK(F15,F$5:F$42,0)</f>
        <v>11</v>
      </c>
      <c r="H15" s="2">
        <f>C15</f>
        <v>0.54795391055656495</v>
      </c>
      <c r="I15" s="2">
        <f>D15</f>
        <v>0.87387910803653701</v>
      </c>
      <c r="J15" s="2">
        <f>E15</f>
        <v>0.86986525392966696</v>
      </c>
      <c r="K15" s="2">
        <f>ROUND(Notes!$B$4*I15+Notes!$B$5*H15+Notes!$B$6*J15,4)</f>
        <v>0.73909999999999998</v>
      </c>
      <c r="L15" s="3">
        <f>RANK(K15,K$5:K$42,0)</f>
        <v>11</v>
      </c>
    </row>
    <row r="16" spans="1:12" x14ac:dyDescent="0.45">
      <c r="A16" t="s">
        <v>47</v>
      </c>
      <c r="B16" t="s">
        <v>48</v>
      </c>
      <c r="C16" s="2">
        <f>0.547953910556565</f>
        <v>0.54795391055656495</v>
      </c>
      <c r="D16" s="2">
        <f>0.869865253929667</f>
        <v>0.86986525392966696</v>
      </c>
      <c r="E16" s="2">
        <f>0.869865253929667</f>
        <v>0.86986525392966696</v>
      </c>
      <c r="F16" s="2">
        <f>ROUND(Notes!$B$4*D16+Notes!$B$5*C16+Notes!$B$6*E16,4)</f>
        <v>0.73729999999999996</v>
      </c>
      <c r="G16" s="3">
        <f>RANK(F16,F$5:F$42,0)</f>
        <v>12</v>
      </c>
      <c r="H16" s="2">
        <f>C16</f>
        <v>0.54795391055656495</v>
      </c>
      <c r="I16" s="2">
        <f>D16</f>
        <v>0.86986525392966696</v>
      </c>
      <c r="J16" s="2">
        <f>E16</f>
        <v>0.86986525392966696</v>
      </c>
      <c r="K16" s="2">
        <f>ROUND(Notes!$B$4*I16+Notes!$B$5*H16+Notes!$B$6*J16,4)</f>
        <v>0.73729999999999996</v>
      </c>
      <c r="L16" s="3">
        <f>RANK(K16,K$5:K$42,0)</f>
        <v>12</v>
      </c>
    </row>
    <row r="17" spans="1:12" x14ac:dyDescent="0.45">
      <c r="A17" t="s">
        <v>49</v>
      </c>
      <c r="B17" t="s">
        <v>50</v>
      </c>
      <c r="C17" s="2">
        <f>0.543222830616488</f>
        <v>0.54322283061648802</v>
      </c>
      <c r="D17" s="2">
        <f>0.873879108036537</f>
        <v>0.87387910803653701</v>
      </c>
      <c r="E17" s="2">
        <f>0.841318847888109</f>
        <v>0.84131884788810896</v>
      </c>
      <c r="F17" s="2">
        <f>ROUND(Notes!$B$4*D17+Notes!$B$5*C17+Notes!$B$6*E17,4)</f>
        <v>0.7329</v>
      </c>
      <c r="G17" s="3">
        <f>RANK(F17,F$5:F$42,0)</f>
        <v>13</v>
      </c>
      <c r="H17" s="2">
        <f>C17</f>
        <v>0.54322283061648802</v>
      </c>
      <c r="I17" s="2">
        <f>D17</f>
        <v>0.87387910803653701</v>
      </c>
      <c r="J17" s="2">
        <f>E17</f>
        <v>0.84131884788810896</v>
      </c>
      <c r="K17" s="2">
        <f>ROUND(Notes!$B$4*I17+Notes!$B$5*H17+Notes!$B$6*J17,4)</f>
        <v>0.7329</v>
      </c>
      <c r="L17" s="3">
        <f>RANK(K17,K$5:K$42,0)</f>
        <v>13</v>
      </c>
    </row>
    <row r="18" spans="1:12" x14ac:dyDescent="0.45">
      <c r="A18" t="s">
        <v>51</v>
      </c>
      <c r="B18" t="s">
        <v>52</v>
      </c>
      <c r="C18" s="2">
        <f>0.630382676079967</f>
        <v>0.63038267607996701</v>
      </c>
      <c r="D18" s="2">
        <f>0.795219524916135</f>
        <v>0.79521952491613501</v>
      </c>
      <c r="E18" s="2">
        <f>0.795219524916135</f>
        <v>0.79521952491613501</v>
      </c>
      <c r="F18" s="2">
        <f>ROUND(Notes!$B$4*D18+Notes!$B$5*C18+Notes!$B$6*E18,4)</f>
        <v>0.72740000000000005</v>
      </c>
      <c r="G18" s="3">
        <f>RANK(F18,F$5:F$42,0)</f>
        <v>14</v>
      </c>
      <c r="H18" s="2">
        <f>C18</f>
        <v>0.63038267607996701</v>
      </c>
      <c r="I18" s="2">
        <f>D18</f>
        <v>0.79521952491613501</v>
      </c>
      <c r="J18" s="2">
        <f>E18</f>
        <v>0.79521952491613501</v>
      </c>
      <c r="K18" s="2">
        <f>ROUND(Notes!$B$4*I18+Notes!$B$5*H18+Notes!$B$6*J18,4)</f>
        <v>0.72740000000000005</v>
      </c>
      <c r="L18" s="3">
        <f>RANK(K18,K$5:K$42,0)</f>
        <v>14</v>
      </c>
    </row>
    <row r="19" spans="1:12" x14ac:dyDescent="0.45">
      <c r="A19" t="s">
        <v>53</v>
      </c>
      <c r="B19" t="s">
        <v>54</v>
      </c>
      <c r="C19" s="2">
        <f>0.391406012913837</f>
        <v>0.39140601291383698</v>
      </c>
      <c r="D19" s="2">
        <f>1</f>
        <v>1</v>
      </c>
      <c r="E19" s="2">
        <f>0.826923076923077</f>
        <v>0.82692307692307698</v>
      </c>
      <c r="F19" s="2">
        <f>ROUND(Notes!$B$4*D19+Notes!$B$5*C19+Notes!$B$6*E19,4)</f>
        <v>0.72360000000000002</v>
      </c>
      <c r="G19" s="3">
        <f>RANK(F19,F$5:F$42,0)</f>
        <v>15</v>
      </c>
      <c r="H19" s="2">
        <f>C19</f>
        <v>0.39140601291383698</v>
      </c>
      <c r="I19" s="2">
        <f>D19</f>
        <v>1</v>
      </c>
      <c r="J19" s="2">
        <f>E19</f>
        <v>0.82692307692307698</v>
      </c>
      <c r="K19" s="2">
        <f>ROUND(Notes!$B$4*I19+Notes!$B$5*H19+Notes!$B$6*J19,4)</f>
        <v>0.72360000000000002</v>
      </c>
      <c r="L19" s="3">
        <f>RANK(K19,K$5:K$42,0)</f>
        <v>15</v>
      </c>
    </row>
    <row r="20" spans="1:12" x14ac:dyDescent="0.45">
      <c r="A20" t="s">
        <v>55</v>
      </c>
      <c r="B20" t="s">
        <v>56</v>
      </c>
      <c r="C20" s="2">
        <f>0.478865241362287</f>
        <v>0.47886524136228698</v>
      </c>
      <c r="D20" s="2">
        <f>0.901030024355631</f>
        <v>0.90103002435563095</v>
      </c>
      <c r="E20" s="2">
        <f>0.835370889649727</f>
        <v>0.83537088964972706</v>
      </c>
      <c r="F20" s="2">
        <f>ROUND(Notes!$B$4*D20+Notes!$B$5*C20+Notes!$B$6*E20,4)</f>
        <v>0.71740000000000004</v>
      </c>
      <c r="G20" s="3">
        <f>RANK(F20,F$5:F$42,0)</f>
        <v>16</v>
      </c>
      <c r="H20" s="2">
        <f>C20</f>
        <v>0.47886524136228698</v>
      </c>
      <c r="I20" s="2">
        <f>D20</f>
        <v>0.90103002435563095</v>
      </c>
      <c r="J20" s="2">
        <f>E20</f>
        <v>0.83537088964972706</v>
      </c>
      <c r="K20" s="2">
        <f>ROUND(Notes!$B$4*I20+Notes!$B$5*H20+Notes!$B$6*J20,4)</f>
        <v>0.71740000000000004</v>
      </c>
      <c r="L20" s="3">
        <f>RANK(K20,K$5:K$42,0)</f>
        <v>16</v>
      </c>
    </row>
    <row r="21" spans="1:12" x14ac:dyDescent="0.45">
      <c r="A21" t="s">
        <v>57</v>
      </c>
      <c r="B21" t="s">
        <v>58</v>
      </c>
      <c r="C21" s="2">
        <f>0.479318672008477</f>
        <v>0.479318672008477</v>
      </c>
      <c r="D21" s="2">
        <f>0.873417350634541</f>
        <v>0.87341735063454096</v>
      </c>
      <c r="E21" s="2">
        <f>0.869865253929667</f>
        <v>0.86986525392966696</v>
      </c>
      <c r="F21" s="2">
        <f>ROUND(Notes!$B$4*D21+Notes!$B$5*C21+Notes!$B$6*E21,4)</f>
        <v>0.7107</v>
      </c>
      <c r="G21" s="3">
        <f>RANK(F21,F$5:F$42,0)</f>
        <v>17</v>
      </c>
      <c r="H21" s="2">
        <f>C21</f>
        <v>0.479318672008477</v>
      </c>
      <c r="I21" s="2">
        <f>D21</f>
        <v>0.87341735063454096</v>
      </c>
      <c r="J21" s="2">
        <f>E21</f>
        <v>0.86986525392966696</v>
      </c>
      <c r="K21" s="2">
        <f>ROUND(Notes!$B$4*I21+Notes!$B$5*H21+Notes!$B$6*J21,4)</f>
        <v>0.7107</v>
      </c>
      <c r="L21" s="3">
        <f>RANK(K21,K$5:K$42,0)</f>
        <v>17</v>
      </c>
    </row>
    <row r="22" spans="1:12" x14ac:dyDescent="0.45">
      <c r="A22" t="s">
        <v>59</v>
      </c>
      <c r="B22" t="s">
        <v>60</v>
      </c>
      <c r="C22" s="2">
        <f>0.479318672008477</f>
        <v>0.479318672008477</v>
      </c>
      <c r="D22" s="2">
        <f>0.86</f>
        <v>0.86</v>
      </c>
      <c r="E22" s="2">
        <f>0.86</f>
        <v>0.86</v>
      </c>
      <c r="F22" s="2">
        <f>ROUND(Notes!$B$4*D22+Notes!$B$5*C22+Notes!$B$6*E22,4)</f>
        <v>0.70330000000000004</v>
      </c>
      <c r="G22" s="3">
        <f>RANK(F22,F$5:F$42,0)</f>
        <v>18</v>
      </c>
      <c r="H22" s="2">
        <f>C22</f>
        <v>0.479318672008477</v>
      </c>
      <c r="I22" s="2">
        <f>D22</f>
        <v>0.86</v>
      </c>
      <c r="J22" s="2">
        <f>E22</f>
        <v>0.86</v>
      </c>
      <c r="K22" s="2">
        <f>ROUND(Notes!$B$4*I22+Notes!$B$5*H22+Notes!$B$6*J22,4)</f>
        <v>0.70330000000000004</v>
      </c>
      <c r="L22" s="3">
        <f>RANK(K22,K$5:K$42,0)</f>
        <v>18</v>
      </c>
    </row>
    <row r="23" spans="1:12" x14ac:dyDescent="0.45">
      <c r="A23" t="s">
        <v>61</v>
      </c>
      <c r="B23" t="s">
        <v>62</v>
      </c>
      <c r="C23" s="2">
        <f>0.547953910556565</f>
        <v>0.54795391055656495</v>
      </c>
      <c r="D23" s="2">
        <f>0.888411247396436</f>
        <v>0.88841124739643595</v>
      </c>
      <c r="E23" s="2">
        <f>0.547953910556565</f>
        <v>0.54795391055656495</v>
      </c>
      <c r="F23" s="2">
        <f>ROUND(Notes!$B$4*D23+Notes!$B$5*C23+Notes!$B$6*E23,4)</f>
        <v>0.69750000000000001</v>
      </c>
      <c r="G23" s="3">
        <f>RANK(F23,F$5:F$42,0)</f>
        <v>19</v>
      </c>
      <c r="H23" s="2">
        <f>C23</f>
        <v>0.54795391055656495</v>
      </c>
      <c r="I23" s="2">
        <f>D23</f>
        <v>0.88841124739643595</v>
      </c>
      <c r="J23" s="2">
        <f>E23</f>
        <v>0.54795391055656495</v>
      </c>
      <c r="K23" s="2">
        <f>ROUND(Notes!$B$4*I23+Notes!$B$5*H23+Notes!$B$6*J23,4)</f>
        <v>0.69750000000000001</v>
      </c>
      <c r="L23" s="3">
        <f>RANK(K23,K$5:K$42,0)</f>
        <v>19</v>
      </c>
    </row>
    <row r="24" spans="1:12" x14ac:dyDescent="0.45">
      <c r="A24" t="s">
        <v>63</v>
      </c>
      <c r="B24" t="s">
        <v>64</v>
      </c>
      <c r="C24" s="2">
        <f>0.518965517241379</f>
        <v>0.51896551724137896</v>
      </c>
      <c r="D24" s="2">
        <f>0.826923076923077</f>
        <v>0.82692307692307698</v>
      </c>
      <c r="E24" s="2">
        <f>0.737888702767901</f>
        <v>0.73788870276790097</v>
      </c>
      <c r="F24" s="2">
        <f>ROUND(Notes!$B$4*D24+Notes!$B$5*C24+Notes!$B$6*E24,4)</f>
        <v>0.68689999999999996</v>
      </c>
      <c r="G24" s="3">
        <f>RANK(F24,F$5:F$42,0)</f>
        <v>20</v>
      </c>
      <c r="H24" s="2">
        <f>C24</f>
        <v>0.51896551724137896</v>
      </c>
      <c r="I24" s="2">
        <f>D24</f>
        <v>0.82692307692307698</v>
      </c>
      <c r="J24" s="2">
        <f>E24</f>
        <v>0.73788870276790097</v>
      </c>
      <c r="K24" s="2">
        <f>ROUND(Notes!$B$4*I24+Notes!$B$5*H24+Notes!$B$6*J24,4)</f>
        <v>0.68689999999999996</v>
      </c>
      <c r="L24" s="3">
        <f>RANK(K24,K$5:K$42,0)</f>
        <v>20</v>
      </c>
    </row>
    <row r="25" spans="1:12" x14ac:dyDescent="0.45">
      <c r="A25" t="s">
        <v>65</v>
      </c>
      <c r="B25" t="s">
        <v>66</v>
      </c>
      <c r="C25" s="2">
        <f>0.391406012913837</f>
        <v>0.39140601291383698</v>
      </c>
      <c r="D25" s="2">
        <f>0.876514043282575</f>
        <v>0.87651404328257498</v>
      </c>
      <c r="E25" s="2">
        <f>0.869865253929667</f>
        <v>0.86986525392966696</v>
      </c>
      <c r="F25" s="2">
        <f>ROUND(Notes!$B$4*D25+Notes!$B$5*C25+Notes!$B$6*E25,4)</f>
        <v>0.67579999999999996</v>
      </c>
      <c r="G25" s="3">
        <f>RANK(F25,F$5:F$42,0)</f>
        <v>21</v>
      </c>
      <c r="H25" s="2">
        <f>C25</f>
        <v>0.39140601291383698</v>
      </c>
      <c r="I25" s="2">
        <f>D25</f>
        <v>0.87651404328257498</v>
      </c>
      <c r="J25" s="2">
        <f>E25</f>
        <v>0.86986525392966696</v>
      </c>
      <c r="K25" s="2">
        <f>ROUND(Notes!$B$4*I25+Notes!$B$5*H25+Notes!$B$6*J25,4)</f>
        <v>0.67579999999999996</v>
      </c>
      <c r="L25" s="3">
        <f>RANK(K25,K$5:K$42,0)</f>
        <v>21</v>
      </c>
    </row>
    <row r="26" spans="1:12" x14ac:dyDescent="0.45">
      <c r="A26" t="s">
        <v>67</v>
      </c>
      <c r="B26" t="s">
        <v>68</v>
      </c>
      <c r="C26" s="2">
        <f>0.408845614108812</f>
        <v>0.40884561410881198</v>
      </c>
      <c r="D26" s="2">
        <f>0.884365027341364</f>
        <v>0.88436502734136402</v>
      </c>
      <c r="E26" s="2">
        <f>0.737888702767901</f>
        <v>0.73788870276790097</v>
      </c>
      <c r="F26" s="2">
        <f>ROUND(Notes!$B$4*D26+Notes!$B$5*C26+Notes!$B$6*E26,4)</f>
        <v>0.66679999999999995</v>
      </c>
      <c r="G26" s="3">
        <f>RANK(F26,F$5:F$42,0)</f>
        <v>22</v>
      </c>
      <c r="H26" s="2">
        <f>C26</f>
        <v>0.40884561410881198</v>
      </c>
      <c r="I26" s="2">
        <f>D26</f>
        <v>0.88436502734136402</v>
      </c>
      <c r="J26" s="2">
        <f>E26</f>
        <v>0.73788870276790097</v>
      </c>
      <c r="K26" s="2">
        <f>ROUND(Notes!$B$4*I26+Notes!$B$5*H26+Notes!$B$6*J26,4)</f>
        <v>0.66679999999999995</v>
      </c>
      <c r="L26" s="3">
        <f>RANK(K26,K$5:K$42,0)</f>
        <v>22</v>
      </c>
    </row>
    <row r="27" spans="1:12" x14ac:dyDescent="0.45">
      <c r="A27" t="s">
        <v>69</v>
      </c>
      <c r="B27" t="s">
        <v>70</v>
      </c>
      <c r="C27" s="2">
        <f>0.431068736527055</f>
        <v>0.43106873652705502</v>
      </c>
      <c r="D27" s="2">
        <f>0.864149148541634</f>
        <v>0.86414914854163405</v>
      </c>
      <c r="E27" s="2">
        <f>0.69441435606903</f>
        <v>0.69441435606903001</v>
      </c>
      <c r="F27" s="2">
        <f>ROUND(Notes!$B$4*D27+Notes!$B$5*C27+Notes!$B$6*E27,4)</f>
        <v>0.66049999999999998</v>
      </c>
      <c r="G27" s="3">
        <f>RANK(F27,F$5:F$42,0)</f>
        <v>23</v>
      </c>
      <c r="H27" s="2">
        <f>C27</f>
        <v>0.43106873652705502</v>
      </c>
      <c r="I27" s="2">
        <f>D27</f>
        <v>0.86414914854163405</v>
      </c>
      <c r="J27" s="2">
        <f>E27</f>
        <v>0.69441435606903001</v>
      </c>
      <c r="K27" s="2">
        <f>ROUND(Notes!$B$4*I27+Notes!$B$5*H27+Notes!$B$6*J27,4)</f>
        <v>0.66049999999999998</v>
      </c>
      <c r="L27" s="3">
        <f>RANK(K27,K$5:K$42,0)</f>
        <v>23</v>
      </c>
    </row>
    <row r="28" spans="1:12" x14ac:dyDescent="0.45">
      <c r="A28" t="s">
        <v>71</v>
      </c>
      <c r="B28" t="s">
        <v>72</v>
      </c>
      <c r="C28" s="2">
        <f>0.391406012913837</f>
        <v>0.39140601291383698</v>
      </c>
      <c r="D28" s="2">
        <f>0.869865253929667</f>
        <v>0.86986525392966696</v>
      </c>
      <c r="E28" s="2">
        <f>0.737888702767901</f>
        <v>0.73788870276790097</v>
      </c>
      <c r="F28" s="2">
        <f>ROUND(Notes!$B$4*D28+Notes!$B$5*C28+Notes!$B$6*E28,4)</f>
        <v>0.6532</v>
      </c>
      <c r="G28" s="3">
        <f>RANK(F28,F$5:F$42,0)</f>
        <v>24</v>
      </c>
      <c r="H28" s="2">
        <f>C28</f>
        <v>0.39140601291383698</v>
      </c>
      <c r="I28" s="2">
        <f>D28</f>
        <v>0.86986525392966696</v>
      </c>
      <c r="J28" s="2">
        <f>E28</f>
        <v>0.73788870276790097</v>
      </c>
      <c r="K28" s="2">
        <f>ROUND(Notes!$B$4*I28+Notes!$B$5*H28+Notes!$B$6*J28,4)</f>
        <v>0.6532</v>
      </c>
      <c r="L28" s="3">
        <f>RANK(K28,K$5:K$42,0)</f>
        <v>24</v>
      </c>
    </row>
    <row r="29" spans="1:12" x14ac:dyDescent="0.45">
      <c r="A29" t="s">
        <v>73</v>
      </c>
      <c r="B29" t="s">
        <v>74</v>
      </c>
      <c r="C29" s="2">
        <f>0.479318672008477</f>
        <v>0.479318672008477</v>
      </c>
      <c r="D29" s="2">
        <f>0.851484971473245</f>
        <v>0.85148497147324498</v>
      </c>
      <c r="E29" s="2">
        <f>0.547953910556565</f>
        <v>0.54795391055656495</v>
      </c>
      <c r="F29" s="2">
        <f>ROUND(Notes!$B$4*D29+Notes!$B$5*C29+Notes!$B$6*E29,4)</f>
        <v>0.65300000000000002</v>
      </c>
      <c r="G29" s="3">
        <f>RANK(F29,F$5:F$42,0)</f>
        <v>25</v>
      </c>
      <c r="H29" s="2">
        <f>C29</f>
        <v>0.479318672008477</v>
      </c>
      <c r="I29" s="2">
        <f>D29</f>
        <v>0.85148497147324498</v>
      </c>
      <c r="J29" s="2">
        <f>E29</f>
        <v>0.54795391055656495</v>
      </c>
      <c r="K29" s="2">
        <f>ROUND(Notes!$B$4*I29+Notes!$B$5*H29+Notes!$B$6*J29,4)</f>
        <v>0.65300000000000002</v>
      </c>
      <c r="L29" s="3">
        <f>RANK(K29,K$5:K$42,0)</f>
        <v>25</v>
      </c>
    </row>
    <row r="30" spans="1:12" x14ac:dyDescent="0.45">
      <c r="A30" t="s">
        <v>75</v>
      </c>
      <c r="B30" t="s">
        <v>76</v>
      </c>
      <c r="C30" s="2">
        <f>0.391406012913837</f>
        <v>0.39140601291383698</v>
      </c>
      <c r="D30" s="2">
        <f>0.826923076923077</f>
        <v>0.82692307692307698</v>
      </c>
      <c r="E30" s="2">
        <f>0.81340644290143</f>
        <v>0.81340644290143005</v>
      </c>
      <c r="F30" s="2">
        <f>ROUND(Notes!$B$4*D30+Notes!$B$5*C30+Notes!$B$6*E30,4)</f>
        <v>0.64559999999999995</v>
      </c>
      <c r="G30" s="3">
        <f>RANK(F30,F$5:F$42,0)</f>
        <v>26</v>
      </c>
      <c r="H30" s="2">
        <f>C30</f>
        <v>0.39140601291383698</v>
      </c>
      <c r="I30" s="2">
        <f>D30</f>
        <v>0.82692307692307698</v>
      </c>
      <c r="J30" s="2">
        <f>E30</f>
        <v>0.81340644290143005</v>
      </c>
      <c r="K30" s="2">
        <f>ROUND(Notes!$B$4*I30+Notes!$B$5*H30+Notes!$B$6*J30,4)</f>
        <v>0.64559999999999995</v>
      </c>
      <c r="L30" s="3">
        <f>RANK(K30,K$5:K$42,0)</f>
        <v>26</v>
      </c>
    </row>
    <row r="31" spans="1:12" x14ac:dyDescent="0.45">
      <c r="A31" t="s">
        <v>77</v>
      </c>
      <c r="B31" t="s">
        <v>78</v>
      </c>
      <c r="C31" s="2">
        <f>0.479318672008477</f>
        <v>0.479318672008477</v>
      </c>
      <c r="D31" s="2">
        <f>0.787075165170195</f>
        <v>0.78707516517019505</v>
      </c>
      <c r="E31" s="2">
        <f>0.646263719038607</f>
        <v>0.64626371903860702</v>
      </c>
      <c r="F31" s="2">
        <f>ROUND(Notes!$B$4*D31+Notes!$B$5*C31+Notes!$B$6*E31,4)</f>
        <v>0.63939999999999997</v>
      </c>
      <c r="G31" s="3">
        <f>RANK(F31,F$5:F$42,0)</f>
        <v>27</v>
      </c>
      <c r="H31" s="2">
        <f>C31</f>
        <v>0.479318672008477</v>
      </c>
      <c r="I31" s="2">
        <f>D31</f>
        <v>0.78707516517019505</v>
      </c>
      <c r="J31" s="2">
        <f>E31</f>
        <v>0.64626371903860702</v>
      </c>
      <c r="K31" s="2">
        <f>ROUND(Notes!$B$4*I31+Notes!$B$5*H31+Notes!$B$6*J31,4)</f>
        <v>0.63939999999999997</v>
      </c>
      <c r="L31" s="3">
        <f>RANK(K31,K$5:K$42,0)</f>
        <v>27</v>
      </c>
    </row>
    <row r="32" spans="1:12" x14ac:dyDescent="0.45">
      <c r="A32" t="s">
        <v>79</v>
      </c>
      <c r="B32" t="s">
        <v>80</v>
      </c>
      <c r="C32" s="2">
        <f>0.479318672008477</f>
        <v>0.479318672008477</v>
      </c>
      <c r="D32" s="2">
        <f>0.737888702767901</f>
        <v>0.73788870276790097</v>
      </c>
      <c r="E32" s="2">
        <f>0.737888702767901</f>
        <v>0.73788870276790097</v>
      </c>
      <c r="F32" s="2">
        <f>ROUND(Notes!$B$4*D32+Notes!$B$5*C32+Notes!$B$6*E32,4)</f>
        <v>0.63139999999999996</v>
      </c>
      <c r="G32" s="3">
        <f>RANK(F32,F$5:F$42,0)</f>
        <v>28</v>
      </c>
      <c r="H32" s="2">
        <f>C32</f>
        <v>0.479318672008477</v>
      </c>
      <c r="I32" s="2">
        <f>D32</f>
        <v>0.73788870276790097</v>
      </c>
      <c r="J32" s="2">
        <f>E32</f>
        <v>0.73788870276790097</v>
      </c>
      <c r="K32" s="2">
        <f>ROUND(Notes!$B$4*I32+Notes!$B$5*H32+Notes!$B$6*J32,4)</f>
        <v>0.63139999999999996</v>
      </c>
      <c r="L32" s="3">
        <f>RANK(K32,K$5:K$42,0)</f>
        <v>28</v>
      </c>
    </row>
    <row r="33" spans="1:12" x14ac:dyDescent="0.45">
      <c r="A33" t="s">
        <v>81</v>
      </c>
      <c r="B33" t="s">
        <v>82</v>
      </c>
      <c r="C33" s="2">
        <f>0.338474732816403</f>
        <v>0.338474732816403</v>
      </c>
      <c r="D33" s="2">
        <f>0.813463195231154</f>
        <v>0.81346319523115396</v>
      </c>
      <c r="E33" s="2">
        <f>0.869865253929667</f>
        <v>0.86986525392966696</v>
      </c>
      <c r="F33" s="2">
        <f>ROUND(Notes!$B$4*D33+Notes!$B$5*C33+Notes!$B$6*E33,4)</f>
        <v>0.62629999999999997</v>
      </c>
      <c r="G33" s="3">
        <f>RANK(F33,F$5:F$42,0)</f>
        <v>29</v>
      </c>
      <c r="H33" s="2">
        <f>C33</f>
        <v>0.338474732816403</v>
      </c>
      <c r="I33" s="2">
        <f>D33</f>
        <v>0.81346319523115396</v>
      </c>
      <c r="J33" s="2">
        <f>E33</f>
        <v>0.86986525392966696</v>
      </c>
      <c r="K33" s="2">
        <f>ROUND(Notes!$B$4*I33+Notes!$B$5*H33+Notes!$B$6*J33,4)</f>
        <v>0.62629999999999997</v>
      </c>
      <c r="L33" s="3">
        <f>RANK(K33,K$5:K$42,0)</f>
        <v>29</v>
      </c>
    </row>
    <row r="34" spans="1:12" x14ac:dyDescent="0.45">
      <c r="A34" t="s">
        <v>83</v>
      </c>
      <c r="B34" t="s">
        <v>84</v>
      </c>
      <c r="C34" s="2">
        <f>0.391406012913837</f>
        <v>0.39140601291383698</v>
      </c>
      <c r="D34" s="2">
        <f>0.778563038959402</f>
        <v>0.77856303895940204</v>
      </c>
      <c r="E34" s="2">
        <f>0.737888702767901</f>
        <v>0.73788870276790097</v>
      </c>
      <c r="F34" s="2">
        <f>ROUND(Notes!$B$4*D34+Notes!$B$5*C34+Notes!$B$6*E34,4)</f>
        <v>0.61309999999999998</v>
      </c>
      <c r="G34" s="3">
        <f>RANK(F34,F$5:F$42,0)</f>
        <v>30</v>
      </c>
      <c r="H34" s="2">
        <f>C34</f>
        <v>0.39140601291383698</v>
      </c>
      <c r="I34" s="2">
        <f>D34</f>
        <v>0.77856303895940204</v>
      </c>
      <c r="J34" s="2">
        <f>E34</f>
        <v>0.73788870276790097</v>
      </c>
      <c r="K34" s="2">
        <f>ROUND(Notes!$B$4*I34+Notes!$B$5*H34+Notes!$B$6*J34,4)</f>
        <v>0.61309999999999998</v>
      </c>
      <c r="L34" s="3">
        <f>RANK(K34,K$5:K$42,0)</f>
        <v>30</v>
      </c>
    </row>
    <row r="35" spans="1:12" x14ac:dyDescent="0.45">
      <c r="A35" t="s">
        <v>85</v>
      </c>
      <c r="B35" t="s">
        <v>86</v>
      </c>
      <c r="C35" s="2">
        <f>0.278958448750364</f>
        <v>0.27895844875036402</v>
      </c>
      <c r="D35" s="2">
        <f>0.859028659709284</f>
        <v>0.85902865970928399</v>
      </c>
      <c r="E35" s="2">
        <f>0.787075165170195</f>
        <v>0.78707516517019505</v>
      </c>
      <c r="F35" s="2">
        <f>ROUND(Notes!$B$4*D35+Notes!$B$5*C35+Notes!$B$6*E35,4)</f>
        <v>0.60950000000000004</v>
      </c>
      <c r="G35" s="3">
        <f>RANK(F35,F$5:F$42,0)</f>
        <v>31</v>
      </c>
      <c r="H35" s="2">
        <f>C35</f>
        <v>0.27895844875036402</v>
      </c>
      <c r="I35" s="2">
        <f>D35</f>
        <v>0.85902865970928399</v>
      </c>
      <c r="J35" s="2">
        <f>E35</f>
        <v>0.78707516517019505</v>
      </c>
      <c r="K35" s="2">
        <f>ROUND(Notes!$B$4*I35+Notes!$B$5*H35+Notes!$B$6*J35,4)</f>
        <v>0.60950000000000004</v>
      </c>
      <c r="L35" s="3">
        <f>RANK(K35,K$5:K$42,0)</f>
        <v>31</v>
      </c>
    </row>
    <row r="36" spans="1:12" x14ac:dyDescent="0.45">
      <c r="A36" t="s">
        <v>87</v>
      </c>
      <c r="B36" t="s">
        <v>88</v>
      </c>
      <c r="C36" s="2">
        <f>0.373913043478261</f>
        <v>0.37391304347826099</v>
      </c>
      <c r="D36" s="2">
        <f>0.781818181818182</f>
        <v>0.78181818181818197</v>
      </c>
      <c r="E36" s="2">
        <f>0.737888702767901</f>
        <v>0.73788870276790097</v>
      </c>
      <c r="F36" s="2">
        <f>ROUND(Notes!$B$4*D36+Notes!$B$5*C36+Notes!$B$6*E36,4)</f>
        <v>0.60729999999999995</v>
      </c>
      <c r="G36" s="3">
        <f>RANK(F36,F$5:F$42,0)</f>
        <v>32</v>
      </c>
      <c r="H36" s="2">
        <f>C36</f>
        <v>0.37391304347826099</v>
      </c>
      <c r="I36" s="2">
        <f>D36</f>
        <v>0.78181818181818197</v>
      </c>
      <c r="J36" s="2">
        <f>E36</f>
        <v>0.73788870276790097</v>
      </c>
      <c r="K36" s="2">
        <f>ROUND(Notes!$B$4*I36+Notes!$B$5*H36+Notes!$B$6*J36,4)</f>
        <v>0.60729999999999995</v>
      </c>
      <c r="L36" s="3">
        <f>RANK(K36,K$5:K$42,0)</f>
        <v>32</v>
      </c>
    </row>
    <row r="37" spans="1:12" x14ac:dyDescent="0.45">
      <c r="A37" t="s">
        <v>89</v>
      </c>
      <c r="B37" t="s">
        <v>90</v>
      </c>
      <c r="C37" s="2">
        <f>0.338474732816403</f>
        <v>0.338474732816403</v>
      </c>
      <c r="D37" s="2">
        <f>0.737888702767901</f>
        <v>0.73788870276790097</v>
      </c>
      <c r="E37" s="2">
        <f>0.869865253929667</f>
        <v>0.86986525392966696</v>
      </c>
      <c r="F37" s="2">
        <f>ROUND(Notes!$B$4*D37+Notes!$B$5*C37+Notes!$B$6*E37,4)</f>
        <v>0.59319999999999995</v>
      </c>
      <c r="G37" s="3">
        <f>RANK(F37,F$5:F$42,0)</f>
        <v>33</v>
      </c>
      <c r="H37" s="2">
        <f>C37</f>
        <v>0.338474732816403</v>
      </c>
      <c r="I37" s="2">
        <f>D37</f>
        <v>0.73788870276790097</v>
      </c>
      <c r="J37" s="2">
        <f>E37</f>
        <v>0.86986525392966696</v>
      </c>
      <c r="K37" s="2">
        <f>ROUND(Notes!$B$4*I37+Notes!$B$5*H37+Notes!$B$6*J37,4)</f>
        <v>0.59319999999999995</v>
      </c>
      <c r="L37" s="3">
        <f>RANK(K37,K$5:K$42,0)</f>
        <v>33</v>
      </c>
    </row>
    <row r="38" spans="1:12" x14ac:dyDescent="0.45">
      <c r="A38" t="s">
        <v>91</v>
      </c>
      <c r="B38" t="s">
        <v>92</v>
      </c>
      <c r="C38" s="2">
        <f>0.278958448750364</f>
        <v>0.27895844875036402</v>
      </c>
      <c r="D38" s="2">
        <f>0.822456690745778</f>
        <v>0.82245669074577799</v>
      </c>
      <c r="E38" s="2">
        <f>0.737888702767901</f>
        <v>0.73788870276790097</v>
      </c>
      <c r="F38" s="2">
        <f>ROUND(Notes!$B$4*D38+Notes!$B$5*C38+Notes!$B$6*E38,4)</f>
        <v>0.58609999999999995</v>
      </c>
      <c r="G38" s="3">
        <f>RANK(F38,F$5:F$42,0)</f>
        <v>34</v>
      </c>
      <c r="H38" s="2">
        <f>C38</f>
        <v>0.27895844875036402</v>
      </c>
      <c r="I38" s="2">
        <f>D38</f>
        <v>0.82245669074577799</v>
      </c>
      <c r="J38" s="2">
        <f>E38</f>
        <v>0.73788870276790097</v>
      </c>
      <c r="K38" s="2">
        <f>ROUND(Notes!$B$4*I38+Notes!$B$5*H38+Notes!$B$6*J38,4)</f>
        <v>0.58609999999999995</v>
      </c>
      <c r="L38" s="3">
        <f>RANK(K38,K$5:K$42,0)</f>
        <v>34</v>
      </c>
    </row>
    <row r="39" spans="1:12" x14ac:dyDescent="0.45">
      <c r="A39" t="s">
        <v>93</v>
      </c>
      <c r="B39" t="s">
        <v>94</v>
      </c>
      <c r="C39" s="2">
        <f>0.278958448750364</f>
        <v>0.27895844875036402</v>
      </c>
      <c r="D39" s="2">
        <f>0.816200383417959</f>
        <v>0.81620038341795897</v>
      </c>
      <c r="E39" s="2">
        <f>0.737888702767901</f>
        <v>0.73788870276790097</v>
      </c>
      <c r="F39" s="2">
        <f>ROUND(Notes!$B$4*D39+Notes!$B$5*C39+Notes!$B$6*E39,4)</f>
        <v>0.58340000000000003</v>
      </c>
      <c r="G39" s="3">
        <f>RANK(F39,F$5:F$42,0)</f>
        <v>35</v>
      </c>
      <c r="H39" s="2">
        <f>C39</f>
        <v>0.27895844875036402</v>
      </c>
      <c r="I39" s="2">
        <f>D39</f>
        <v>0.81620038341795897</v>
      </c>
      <c r="J39" s="2">
        <f>E39</f>
        <v>0.73788870276790097</v>
      </c>
      <c r="K39" s="2">
        <f>ROUND(Notes!$B$4*I39+Notes!$B$5*H39+Notes!$B$6*J39,4)</f>
        <v>0.58340000000000003</v>
      </c>
      <c r="L39" s="3">
        <f>RANK(K39,K$5:K$42,0)</f>
        <v>35</v>
      </c>
    </row>
    <row r="40" spans="1:12" x14ac:dyDescent="0.45">
      <c r="A40" t="s">
        <v>95</v>
      </c>
      <c r="B40" t="s">
        <v>96</v>
      </c>
      <c r="C40" s="2">
        <f>0.305956530933891</f>
        <v>0.30595653093389102</v>
      </c>
      <c r="D40" s="2">
        <f>0.737888702767901</f>
        <v>0.73788870276790097</v>
      </c>
      <c r="E40" s="2">
        <f>0.869865253929667</f>
        <v>0.86986525392966696</v>
      </c>
      <c r="F40" s="2">
        <f>ROUND(Notes!$B$4*D40+Notes!$B$5*C40+Notes!$B$6*E40,4)</f>
        <v>0.57979999999999998</v>
      </c>
      <c r="G40" s="3">
        <f>RANK(F40,F$5:F$42,0)</f>
        <v>36</v>
      </c>
      <c r="H40" s="2">
        <f>C40</f>
        <v>0.30595653093389102</v>
      </c>
      <c r="I40" s="2">
        <f>D40</f>
        <v>0.73788870276790097</v>
      </c>
      <c r="J40" s="2">
        <f>E40</f>
        <v>0.86986525392966696</v>
      </c>
      <c r="K40" s="2">
        <f>ROUND(Notes!$B$4*I40+Notes!$B$5*H40+Notes!$B$6*J40,4)</f>
        <v>0.57979999999999998</v>
      </c>
      <c r="L40" s="3">
        <f>RANK(K40,K$5:K$42,0)</f>
        <v>36</v>
      </c>
    </row>
    <row r="41" spans="1:12" x14ac:dyDescent="0.45">
      <c r="A41" t="s">
        <v>97</v>
      </c>
      <c r="B41" t="s">
        <v>98</v>
      </c>
      <c r="C41" s="2">
        <f>0.2</f>
        <v>0.2</v>
      </c>
      <c r="D41" s="2">
        <f>0.74468085106383</f>
        <v>0.74468085106382997</v>
      </c>
      <c r="E41" s="2">
        <f>0.547953910556565</f>
        <v>0.54795391055656495</v>
      </c>
      <c r="F41" s="2">
        <f>ROUND(Notes!$B$4*D41+Notes!$B$5*C41+Notes!$B$6*E41,4)</f>
        <v>0.49109999999999998</v>
      </c>
      <c r="G41" s="3">
        <f>RANK(F41,F$5:F$42,0)</f>
        <v>37</v>
      </c>
      <c r="H41" s="2">
        <f>C41</f>
        <v>0.2</v>
      </c>
      <c r="I41" s="2">
        <f>D41</f>
        <v>0.74468085106382997</v>
      </c>
      <c r="J41" s="2">
        <f>E41</f>
        <v>0.54795391055656495</v>
      </c>
      <c r="K41" s="2">
        <f>ROUND(Notes!$B$4*I41+Notes!$B$5*H41+Notes!$B$6*J41,4)</f>
        <v>0.49109999999999998</v>
      </c>
      <c r="L41" s="3">
        <f>RANK(K41,K$5:K$42,0)</f>
        <v>37</v>
      </c>
    </row>
    <row r="42" spans="1:12" x14ac:dyDescent="0.45">
      <c r="A42" t="s">
        <v>99</v>
      </c>
      <c r="B42" t="s">
        <v>100</v>
      </c>
      <c r="C42" s="2">
        <f>0.42321653857669</f>
        <v>0.42321653857669</v>
      </c>
      <c r="D42" s="2">
        <f>0.705977756078566</f>
        <v>0.70597775607856605</v>
      </c>
      <c r="E42" s="2">
        <f>0</f>
        <v>0</v>
      </c>
      <c r="F42" s="2">
        <f>ROUND(Notes!$B$4*D42+Notes!$B$5*C42+Notes!$B$6*E42,4)</f>
        <v>0.48420000000000002</v>
      </c>
      <c r="G42" s="3">
        <f>RANK(F42,F$5:F$42,0)</f>
        <v>38</v>
      </c>
      <c r="H42" s="2">
        <f>C42</f>
        <v>0.42321653857669</v>
      </c>
      <c r="I42" s="2">
        <f>D42</f>
        <v>0.70597775607856605</v>
      </c>
      <c r="J42" s="2">
        <f>E42</f>
        <v>0</v>
      </c>
      <c r="K42" s="2">
        <f>ROUND(Notes!$B$4*I42+Notes!$B$5*H42+Notes!$B$6*J42,4)</f>
        <v>0.48420000000000002</v>
      </c>
      <c r="L42" s="3">
        <f>RANK(K42,K$5:K$42,0)</f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5D90-3CD3-4042-981E-F2457B3D8D7A}">
  <dimension ref="A1:L42"/>
  <sheetViews>
    <sheetView workbookViewId="0"/>
  </sheetViews>
  <sheetFormatPr defaultRowHeight="14.25" x14ac:dyDescent="0.45"/>
  <cols>
    <col min="1" max="1" width="20.59765625" customWidth="1"/>
    <col min="3" max="12" width="13.59765625" customWidth="1"/>
  </cols>
  <sheetData>
    <row r="1" spans="1:12" x14ac:dyDescent="0.45">
      <c r="A1" s="1" t="s">
        <v>102</v>
      </c>
    </row>
    <row r="2" spans="1:12" x14ac:dyDescent="0.45">
      <c r="A2" t="s">
        <v>12</v>
      </c>
    </row>
    <row r="4" spans="1:12" x14ac:dyDescent="0.45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</row>
    <row r="5" spans="1:12" x14ac:dyDescent="0.45">
      <c r="A5" t="s">
        <v>25</v>
      </c>
      <c r="B5" t="s">
        <v>26</v>
      </c>
      <c r="C5" s="2">
        <f>1</f>
        <v>1</v>
      </c>
      <c r="D5" s="2">
        <f>1</f>
        <v>1</v>
      </c>
      <c r="E5" s="2">
        <f>1</f>
        <v>1</v>
      </c>
      <c r="F5" s="2">
        <f>ROUND(Notes!$B$4*D5+Notes!$B$5*C5+Notes!$B$6*E5,4)</f>
        <v>1</v>
      </c>
      <c r="G5" s="3">
        <f>RANK(F5,F$5:F$42,0)</f>
        <v>1</v>
      </c>
      <c r="H5" s="2">
        <f>C5</f>
        <v>1</v>
      </c>
      <c r="I5" s="2">
        <f>D5</f>
        <v>1</v>
      </c>
      <c r="J5" s="2">
        <f>E5</f>
        <v>1</v>
      </c>
      <c r="K5" s="2">
        <f>ROUND(Notes!$B$4*I5+Notes!$B$5*H5+Notes!$B$6*J5,4)</f>
        <v>1</v>
      </c>
      <c r="L5" s="3">
        <f>RANK(K5,K$5:K$42,0)</f>
        <v>1</v>
      </c>
    </row>
    <row r="6" spans="1:12" x14ac:dyDescent="0.45">
      <c r="A6" t="s">
        <v>27</v>
      </c>
      <c r="B6" t="s">
        <v>28</v>
      </c>
      <c r="C6" s="2">
        <f>1</f>
        <v>1</v>
      </c>
      <c r="D6" s="2">
        <f>1</f>
        <v>1</v>
      </c>
      <c r="E6" s="2">
        <f>1</f>
        <v>1</v>
      </c>
      <c r="F6" s="2">
        <f>ROUND(Notes!$B$4*D6+Notes!$B$5*C6+Notes!$B$6*E6,4)</f>
        <v>1</v>
      </c>
      <c r="G6" s="3">
        <f>RANK(F6,F$5:F$42,0)</f>
        <v>1</v>
      </c>
      <c r="H6" s="2">
        <f>C6</f>
        <v>1</v>
      </c>
      <c r="I6" s="2">
        <f>D6</f>
        <v>1</v>
      </c>
      <c r="J6" s="2">
        <f>E6</f>
        <v>1</v>
      </c>
      <c r="K6" s="2">
        <f>ROUND(Notes!$B$4*I6+Notes!$B$5*H6+Notes!$B$6*J6,4)</f>
        <v>1</v>
      </c>
      <c r="L6" s="3">
        <f>RANK(K6,K$5:K$42,0)</f>
        <v>1</v>
      </c>
    </row>
    <row r="7" spans="1:12" x14ac:dyDescent="0.45">
      <c r="A7" t="s">
        <v>29</v>
      </c>
      <c r="B7" t="s">
        <v>30</v>
      </c>
      <c r="C7" s="2">
        <f>1</f>
        <v>1</v>
      </c>
      <c r="D7" s="2">
        <f>1</f>
        <v>1</v>
      </c>
      <c r="E7" s="2">
        <f>0.632751338890881</f>
        <v>0.63275133889088098</v>
      </c>
      <c r="F7" s="2">
        <f>ROUND(Notes!$B$4*D7+Notes!$B$5*C7+Notes!$B$6*E7,4)</f>
        <v>0.94520000000000004</v>
      </c>
      <c r="G7" s="3">
        <f>RANK(F7,F$5:F$42,0)</f>
        <v>3</v>
      </c>
      <c r="H7" s="2">
        <f>C7</f>
        <v>1</v>
      </c>
      <c r="I7" s="2">
        <f>D7</f>
        <v>1</v>
      </c>
      <c r="J7" s="2">
        <f>E7</f>
        <v>0.63275133889088098</v>
      </c>
      <c r="K7" s="2">
        <f>ROUND(Notes!$B$4*I7+Notes!$B$5*H7+Notes!$B$6*J7,4)</f>
        <v>0.94520000000000004</v>
      </c>
      <c r="L7" s="3">
        <f>RANK(K7,K$5:K$42,0)</f>
        <v>3</v>
      </c>
    </row>
    <row r="8" spans="1:12" x14ac:dyDescent="0.45">
      <c r="A8" t="s">
        <v>31</v>
      </c>
      <c r="B8" t="s">
        <v>32</v>
      </c>
      <c r="C8" s="2">
        <f>0.826923076923077</f>
        <v>0.82692307692307698</v>
      </c>
      <c r="D8" s="2">
        <f>1</f>
        <v>1</v>
      </c>
      <c r="E8" s="2">
        <f>1</f>
        <v>1</v>
      </c>
      <c r="F8" s="2">
        <f>ROUND(Notes!$B$4*D8+Notes!$B$5*C8+Notes!$B$6*E8,4)</f>
        <v>0.92879999999999996</v>
      </c>
      <c r="G8" s="3">
        <f>RANK(F8,F$5:F$42,0)</f>
        <v>4</v>
      </c>
      <c r="H8" s="2">
        <f>C8</f>
        <v>0.82692307692307698</v>
      </c>
      <c r="I8" s="2">
        <f>D8</f>
        <v>1</v>
      </c>
      <c r="J8" s="2">
        <f>E8</f>
        <v>1</v>
      </c>
      <c r="K8" s="2">
        <f>ROUND(Notes!$B$4*I8+Notes!$B$5*H8+Notes!$B$6*J8,4)</f>
        <v>0.92879999999999996</v>
      </c>
      <c r="L8" s="3">
        <f>RANK(K8,K$5:K$42,0)</f>
        <v>4</v>
      </c>
    </row>
    <row r="9" spans="1:12" x14ac:dyDescent="0.45">
      <c r="A9" t="s">
        <v>33</v>
      </c>
      <c r="B9" t="s">
        <v>34</v>
      </c>
      <c r="C9" s="2">
        <f>0.635714285714286</f>
        <v>0.63571428571428601</v>
      </c>
      <c r="D9" s="2">
        <f>1</f>
        <v>1</v>
      </c>
      <c r="E9" s="2">
        <f>0.43</f>
        <v>0.43</v>
      </c>
      <c r="F9" s="2">
        <f>ROUND(Notes!$B$4*D9+Notes!$B$5*C9+Notes!$B$6*E9,4)</f>
        <v>0.76500000000000001</v>
      </c>
      <c r="G9" s="3">
        <f>RANK(F9,F$5:F$42,0)</f>
        <v>5</v>
      </c>
      <c r="H9" s="2">
        <f>1</f>
        <v>1</v>
      </c>
      <c r="I9" s="2">
        <f>1</f>
        <v>1</v>
      </c>
      <c r="J9" s="2">
        <f>E9</f>
        <v>0.43</v>
      </c>
      <c r="K9" s="2">
        <f>ROUND(Notes!$B$4*I9+Notes!$B$5*H9+Notes!$B$6*J9,4)</f>
        <v>0.91490000000000005</v>
      </c>
      <c r="L9" s="3">
        <f>RANK(K9,K$5:K$42,0)</f>
        <v>5</v>
      </c>
    </row>
    <row r="10" spans="1:12" x14ac:dyDescent="0.45">
      <c r="A10" t="s">
        <v>35</v>
      </c>
      <c r="B10" t="s">
        <v>36</v>
      </c>
      <c r="C10" s="2">
        <f>0.576669379707147</f>
        <v>0.57666937970714705</v>
      </c>
      <c r="D10" s="2">
        <f>0.869865253929667</f>
        <v>0.86986525392966696</v>
      </c>
      <c r="E10" s="2">
        <f>0.965116279069767</f>
        <v>0.96511627906976705</v>
      </c>
      <c r="F10" s="2">
        <f>ROUND(Notes!$B$4*D10+Notes!$B$5*C10+Notes!$B$6*E10,4)</f>
        <v>0.76339999999999997</v>
      </c>
      <c r="G10" s="3">
        <f>RANK(F10,F$5:F$42,0)</f>
        <v>6</v>
      </c>
      <c r="H10" s="2">
        <f>C10</f>
        <v>0.57666937970714705</v>
      </c>
      <c r="I10" s="2">
        <f>D10</f>
        <v>0.86986525392966696</v>
      </c>
      <c r="J10" s="2">
        <f>E10</f>
        <v>0.96511627906976705</v>
      </c>
      <c r="K10" s="2">
        <f>ROUND(Notes!$B$4*I10+Notes!$B$5*H10+Notes!$B$6*J10,4)</f>
        <v>0.76339999999999997</v>
      </c>
      <c r="L10" s="3">
        <f>RANK(K10,K$5:K$42,0)</f>
        <v>6</v>
      </c>
    </row>
    <row r="11" spans="1:12" x14ac:dyDescent="0.45">
      <c r="A11" t="s">
        <v>37</v>
      </c>
      <c r="B11" t="s">
        <v>38</v>
      </c>
      <c r="C11" s="2">
        <f>0.547953910556565</f>
        <v>0.54795391055656495</v>
      </c>
      <c r="D11" s="2">
        <f>0.921720532319392</f>
        <v>0.92172053231939199</v>
      </c>
      <c r="E11" s="2">
        <f>0.813463195231154</f>
        <v>0.81346319523115396</v>
      </c>
      <c r="F11" s="2">
        <f>ROUND(Notes!$B$4*D11+Notes!$B$5*C11+Notes!$B$6*E11,4)</f>
        <v>0.75170000000000003</v>
      </c>
      <c r="G11" s="3">
        <f>RANK(F11,F$5:F$42,0)</f>
        <v>7</v>
      </c>
      <c r="H11" s="2">
        <f>C11</f>
        <v>0.54795391055656495</v>
      </c>
      <c r="I11" s="2">
        <f>D11</f>
        <v>0.92172053231939199</v>
      </c>
      <c r="J11" s="2">
        <f>E11</f>
        <v>0.81346319523115396</v>
      </c>
      <c r="K11" s="2">
        <f>ROUND(Notes!$B$4*I11+Notes!$B$5*H11+Notes!$B$6*J11,4)</f>
        <v>0.75170000000000003</v>
      </c>
      <c r="L11" s="3">
        <f>RANK(K11,K$5:K$42,0)</f>
        <v>7</v>
      </c>
    </row>
    <row r="12" spans="1:12" x14ac:dyDescent="0.45">
      <c r="A12" t="s">
        <v>39</v>
      </c>
      <c r="B12" t="s">
        <v>40</v>
      </c>
      <c r="C12" s="2">
        <f>0.602353618717047</f>
        <v>0.60235361871704696</v>
      </c>
      <c r="D12" s="2">
        <f>0.86</f>
        <v>0.86</v>
      </c>
      <c r="E12" s="2">
        <f>0.812269350072009</f>
        <v>0.81226935007200896</v>
      </c>
      <c r="F12" s="2">
        <f>ROUND(Notes!$B$4*D12+Notes!$B$5*C12+Notes!$B$6*E12,4)</f>
        <v>0.74680000000000002</v>
      </c>
      <c r="G12" s="3">
        <f>RANK(F12,F$5:F$42,0)</f>
        <v>8</v>
      </c>
      <c r="H12" s="2">
        <f>C12</f>
        <v>0.60235361871704696</v>
      </c>
      <c r="I12" s="2">
        <f>D12</f>
        <v>0.86</v>
      </c>
      <c r="J12" s="2">
        <f>E12</f>
        <v>0.81226935007200896</v>
      </c>
      <c r="K12" s="2">
        <f>ROUND(Notes!$B$4*I12+Notes!$B$5*H12+Notes!$B$6*J12,4)</f>
        <v>0.74680000000000002</v>
      </c>
      <c r="L12" s="3">
        <f>RANK(K12,K$5:K$42,0)</f>
        <v>8</v>
      </c>
    </row>
    <row r="13" spans="1:12" x14ac:dyDescent="0.45">
      <c r="A13" t="s">
        <v>41</v>
      </c>
      <c r="B13" t="s">
        <v>42</v>
      </c>
      <c r="C13" s="2">
        <f>0.547953910556565</f>
        <v>0.54795391055656495</v>
      </c>
      <c r="D13" s="2">
        <f>0.880275603755891</f>
        <v>0.88027560375589098</v>
      </c>
      <c r="E13" s="2">
        <f>0.869865253929667</f>
        <v>0.86986525392966696</v>
      </c>
      <c r="F13" s="2">
        <f>ROUND(Notes!$B$4*D13+Notes!$B$5*C13+Notes!$B$6*E13,4)</f>
        <v>0.7419</v>
      </c>
      <c r="G13" s="3">
        <f>RANK(F13,F$5:F$42,0)</f>
        <v>9</v>
      </c>
      <c r="H13" s="2">
        <f>C13</f>
        <v>0.54795391055656495</v>
      </c>
      <c r="I13" s="2">
        <f>D13</f>
        <v>0.88027560375589098</v>
      </c>
      <c r="J13" s="2">
        <f>E13</f>
        <v>0.86986525392966696</v>
      </c>
      <c r="K13" s="2">
        <f>ROUND(Notes!$B$4*I13+Notes!$B$5*H13+Notes!$B$6*J13,4)</f>
        <v>0.7419</v>
      </c>
      <c r="L13" s="3">
        <f>RANK(K13,K$5:K$42,0)</f>
        <v>9</v>
      </c>
    </row>
    <row r="14" spans="1:12" x14ac:dyDescent="0.45">
      <c r="A14" t="s">
        <v>43</v>
      </c>
      <c r="B14" t="s">
        <v>44</v>
      </c>
      <c r="C14" s="2">
        <f>0.554838709677419</f>
        <v>0.554838709677419</v>
      </c>
      <c r="D14" s="2">
        <f>0.86</f>
        <v>0.86</v>
      </c>
      <c r="E14" s="2">
        <f>0.905263157894737</f>
        <v>0.90526315789473699</v>
      </c>
      <c r="F14" s="2">
        <f>ROUND(Notes!$B$4*D14+Notes!$B$5*C14+Notes!$B$6*E14,4)</f>
        <v>0.74109999999999998</v>
      </c>
      <c r="G14" s="3">
        <f>RANK(F14,F$5:F$42,0)</f>
        <v>10</v>
      </c>
      <c r="H14" s="2">
        <f>C14</f>
        <v>0.554838709677419</v>
      </c>
      <c r="I14" s="2">
        <f>D14</f>
        <v>0.86</v>
      </c>
      <c r="J14" s="2">
        <f>E14</f>
        <v>0.90526315789473699</v>
      </c>
      <c r="K14" s="2">
        <f>ROUND(Notes!$B$4*I14+Notes!$B$5*H14+Notes!$B$6*J14,4)</f>
        <v>0.74109999999999998</v>
      </c>
      <c r="L14" s="3">
        <f>RANK(K14,K$5:K$42,0)</f>
        <v>10</v>
      </c>
    </row>
    <row r="15" spans="1:12" x14ac:dyDescent="0.45">
      <c r="A15" t="s">
        <v>45</v>
      </c>
      <c r="B15" t="s">
        <v>46</v>
      </c>
      <c r="C15" s="2">
        <f>0.547953910556565</f>
        <v>0.54795391055656495</v>
      </c>
      <c r="D15" s="2">
        <f>0.873879108036537</f>
        <v>0.87387910803653701</v>
      </c>
      <c r="E15" s="2">
        <f>0.869865253929667</f>
        <v>0.86986525392966696</v>
      </c>
      <c r="F15" s="2">
        <f>ROUND(Notes!$B$4*D15+Notes!$B$5*C15+Notes!$B$6*E15,4)</f>
        <v>0.73909999999999998</v>
      </c>
      <c r="G15" s="3">
        <f>RANK(F15,F$5:F$42,0)</f>
        <v>11</v>
      </c>
      <c r="H15" s="2">
        <f>C15</f>
        <v>0.54795391055656495</v>
      </c>
      <c r="I15" s="2">
        <f>D15</f>
        <v>0.87387910803653701</v>
      </c>
      <c r="J15" s="2">
        <f>E15</f>
        <v>0.86986525392966696</v>
      </c>
      <c r="K15" s="2">
        <f>ROUND(Notes!$B$4*I15+Notes!$B$5*H15+Notes!$B$6*J15,4)</f>
        <v>0.73909999999999998</v>
      </c>
      <c r="L15" s="3">
        <f>RANK(K15,K$5:K$42,0)</f>
        <v>11</v>
      </c>
    </row>
    <row r="16" spans="1:12" x14ac:dyDescent="0.45">
      <c r="A16" t="s">
        <v>47</v>
      </c>
      <c r="B16" t="s">
        <v>48</v>
      </c>
      <c r="C16" s="2">
        <f>0.547953910556565</f>
        <v>0.54795391055656495</v>
      </c>
      <c r="D16" s="2">
        <f>0.869865253929667</f>
        <v>0.86986525392966696</v>
      </c>
      <c r="E16" s="2">
        <f>0.869865253929667</f>
        <v>0.86986525392966696</v>
      </c>
      <c r="F16" s="2">
        <f>ROUND(Notes!$B$4*D16+Notes!$B$5*C16+Notes!$B$6*E16,4)</f>
        <v>0.73729999999999996</v>
      </c>
      <c r="G16" s="3">
        <f>RANK(F16,F$5:F$42,0)</f>
        <v>12</v>
      </c>
      <c r="H16" s="2">
        <f>C16</f>
        <v>0.54795391055656495</v>
      </c>
      <c r="I16" s="2">
        <f>D16</f>
        <v>0.86986525392966696</v>
      </c>
      <c r="J16" s="2">
        <f>E16</f>
        <v>0.86986525392966696</v>
      </c>
      <c r="K16" s="2">
        <f>ROUND(Notes!$B$4*I16+Notes!$B$5*H16+Notes!$B$6*J16,4)</f>
        <v>0.73729999999999996</v>
      </c>
      <c r="L16" s="3">
        <f>RANK(K16,K$5:K$42,0)</f>
        <v>12</v>
      </c>
    </row>
    <row r="17" spans="1:12" x14ac:dyDescent="0.45">
      <c r="A17" t="s">
        <v>49</v>
      </c>
      <c r="B17" t="s">
        <v>50</v>
      </c>
      <c r="C17" s="2">
        <f>0.543222830616488</f>
        <v>0.54322283061648802</v>
      </c>
      <c r="D17" s="2">
        <f>0.873879108036537</f>
        <v>0.87387910803653701</v>
      </c>
      <c r="E17" s="2">
        <f>0.841318847888109</f>
        <v>0.84131884788810896</v>
      </c>
      <c r="F17" s="2">
        <f>ROUND(Notes!$B$4*D17+Notes!$B$5*C17+Notes!$B$6*E17,4)</f>
        <v>0.7329</v>
      </c>
      <c r="G17" s="3">
        <f>RANK(F17,F$5:F$42,0)</f>
        <v>13</v>
      </c>
      <c r="H17" s="2">
        <f>C17</f>
        <v>0.54322283061648802</v>
      </c>
      <c r="I17" s="2">
        <f>D17</f>
        <v>0.87387910803653701</v>
      </c>
      <c r="J17" s="2">
        <f>E17</f>
        <v>0.84131884788810896</v>
      </c>
      <c r="K17" s="2">
        <f>ROUND(Notes!$B$4*I17+Notes!$B$5*H17+Notes!$B$6*J17,4)</f>
        <v>0.7329</v>
      </c>
      <c r="L17" s="3">
        <f>RANK(K17,K$5:K$42,0)</f>
        <v>13</v>
      </c>
    </row>
    <row r="18" spans="1:12" x14ac:dyDescent="0.45">
      <c r="A18" t="s">
        <v>51</v>
      </c>
      <c r="B18" t="s">
        <v>52</v>
      </c>
      <c r="C18" s="2">
        <f>0.630382676079967</f>
        <v>0.63038267607996701</v>
      </c>
      <c r="D18" s="2">
        <f>0.795219524916135</f>
        <v>0.79521952491613501</v>
      </c>
      <c r="E18" s="2">
        <f>0.795219524916135</f>
        <v>0.79521952491613501</v>
      </c>
      <c r="F18" s="2">
        <f>ROUND(Notes!$B$4*D18+Notes!$B$5*C18+Notes!$B$6*E18,4)</f>
        <v>0.72740000000000005</v>
      </c>
      <c r="G18" s="3">
        <f>RANK(F18,F$5:F$42,0)</f>
        <v>14</v>
      </c>
      <c r="H18" s="2">
        <f>C18</f>
        <v>0.63038267607996701</v>
      </c>
      <c r="I18" s="2">
        <f>D18</f>
        <v>0.79521952491613501</v>
      </c>
      <c r="J18" s="2">
        <f>E18</f>
        <v>0.79521952491613501</v>
      </c>
      <c r="K18" s="2">
        <f>ROUND(Notes!$B$4*I18+Notes!$B$5*H18+Notes!$B$6*J18,4)</f>
        <v>0.72740000000000005</v>
      </c>
      <c r="L18" s="3">
        <f>RANK(K18,K$5:K$42,0)</f>
        <v>14</v>
      </c>
    </row>
    <row r="19" spans="1:12" x14ac:dyDescent="0.45">
      <c r="A19" t="s">
        <v>53</v>
      </c>
      <c r="B19" t="s">
        <v>54</v>
      </c>
      <c r="C19" s="2">
        <f>0.391406012913837</f>
        <v>0.39140601291383698</v>
      </c>
      <c r="D19" s="2">
        <f>1</f>
        <v>1</v>
      </c>
      <c r="E19" s="2">
        <f>0.826923076923077</f>
        <v>0.82692307692307698</v>
      </c>
      <c r="F19" s="2">
        <f>ROUND(Notes!$B$4*D19+Notes!$B$5*C19+Notes!$B$6*E19,4)</f>
        <v>0.72360000000000002</v>
      </c>
      <c r="G19" s="3">
        <f>RANK(F19,F$5:F$42,0)</f>
        <v>15</v>
      </c>
      <c r="H19" s="2">
        <f>C19</f>
        <v>0.39140601291383698</v>
      </c>
      <c r="I19" s="2">
        <f>D19</f>
        <v>1</v>
      </c>
      <c r="J19" s="2">
        <f>E19</f>
        <v>0.82692307692307698</v>
      </c>
      <c r="K19" s="2">
        <f>ROUND(Notes!$B$4*I19+Notes!$B$5*H19+Notes!$B$6*J19,4)</f>
        <v>0.72360000000000002</v>
      </c>
      <c r="L19" s="3">
        <f>RANK(K19,K$5:K$42,0)</f>
        <v>15</v>
      </c>
    </row>
    <row r="20" spans="1:12" x14ac:dyDescent="0.45">
      <c r="A20" t="s">
        <v>55</v>
      </c>
      <c r="B20" t="s">
        <v>56</v>
      </c>
      <c r="C20" s="2">
        <f>0.478865241362287</f>
        <v>0.47886524136228698</v>
      </c>
      <c r="D20" s="2">
        <f>0.901030024355631</f>
        <v>0.90103002435563095</v>
      </c>
      <c r="E20" s="2">
        <f>0.835370889649727</f>
        <v>0.83537088964972706</v>
      </c>
      <c r="F20" s="2">
        <f>ROUND(Notes!$B$4*D20+Notes!$B$5*C20+Notes!$B$6*E20,4)</f>
        <v>0.71740000000000004</v>
      </c>
      <c r="G20" s="3">
        <f>RANK(F20,F$5:F$42,0)</f>
        <v>16</v>
      </c>
      <c r="H20" s="2">
        <f>C20</f>
        <v>0.47886524136228698</v>
      </c>
      <c r="I20" s="2">
        <f>D20</f>
        <v>0.90103002435563095</v>
      </c>
      <c r="J20" s="2">
        <f>E20</f>
        <v>0.83537088964972706</v>
      </c>
      <c r="K20" s="2">
        <f>ROUND(Notes!$B$4*I20+Notes!$B$5*H20+Notes!$B$6*J20,4)</f>
        <v>0.71740000000000004</v>
      </c>
      <c r="L20" s="3">
        <f>RANK(K20,K$5:K$42,0)</f>
        <v>16</v>
      </c>
    </row>
    <row r="21" spans="1:12" x14ac:dyDescent="0.45">
      <c r="A21" t="s">
        <v>57</v>
      </c>
      <c r="B21" t="s">
        <v>58</v>
      </c>
      <c r="C21" s="2">
        <f>0.479318672008477</f>
        <v>0.479318672008477</v>
      </c>
      <c r="D21" s="2">
        <f>0.873417350634541</f>
        <v>0.87341735063454096</v>
      </c>
      <c r="E21" s="2">
        <f>0.869865253929667</f>
        <v>0.86986525392966696</v>
      </c>
      <c r="F21" s="2">
        <f>ROUND(Notes!$B$4*D21+Notes!$B$5*C21+Notes!$B$6*E21,4)</f>
        <v>0.7107</v>
      </c>
      <c r="G21" s="3">
        <f>RANK(F21,F$5:F$42,0)</f>
        <v>17</v>
      </c>
      <c r="H21" s="2">
        <f>C21</f>
        <v>0.479318672008477</v>
      </c>
      <c r="I21" s="2">
        <f>D21</f>
        <v>0.87341735063454096</v>
      </c>
      <c r="J21" s="2">
        <f>E21</f>
        <v>0.86986525392966696</v>
      </c>
      <c r="K21" s="2">
        <f>ROUND(Notes!$B$4*I21+Notes!$B$5*H21+Notes!$B$6*J21,4)</f>
        <v>0.7107</v>
      </c>
      <c r="L21" s="3">
        <f>RANK(K21,K$5:K$42,0)</f>
        <v>17</v>
      </c>
    </row>
    <row r="22" spans="1:12" x14ac:dyDescent="0.45">
      <c r="A22" t="s">
        <v>59</v>
      </c>
      <c r="B22" t="s">
        <v>60</v>
      </c>
      <c r="C22" s="2">
        <f>0.479318672008477</f>
        <v>0.479318672008477</v>
      </c>
      <c r="D22" s="2">
        <f>0.86</f>
        <v>0.86</v>
      </c>
      <c r="E22" s="2">
        <f>0.86</f>
        <v>0.86</v>
      </c>
      <c r="F22" s="2">
        <f>ROUND(Notes!$B$4*D22+Notes!$B$5*C22+Notes!$B$6*E22,4)</f>
        <v>0.70330000000000004</v>
      </c>
      <c r="G22" s="3">
        <f>RANK(F22,F$5:F$42,0)</f>
        <v>18</v>
      </c>
      <c r="H22" s="2">
        <f>C22</f>
        <v>0.479318672008477</v>
      </c>
      <c r="I22" s="2">
        <f>D22</f>
        <v>0.86</v>
      </c>
      <c r="J22" s="2">
        <f>E22</f>
        <v>0.86</v>
      </c>
      <c r="K22" s="2">
        <f>ROUND(Notes!$B$4*I22+Notes!$B$5*H22+Notes!$B$6*J22,4)</f>
        <v>0.70330000000000004</v>
      </c>
      <c r="L22" s="3">
        <f>RANK(K22,K$5:K$42,0)</f>
        <v>18</v>
      </c>
    </row>
    <row r="23" spans="1:12" x14ac:dyDescent="0.45">
      <c r="A23" t="s">
        <v>61</v>
      </c>
      <c r="B23" t="s">
        <v>62</v>
      </c>
      <c r="C23" s="2">
        <f>0.547953910556565</f>
        <v>0.54795391055656495</v>
      </c>
      <c r="D23" s="2">
        <f>0.888411247396436</f>
        <v>0.88841124739643595</v>
      </c>
      <c r="E23" s="2">
        <f>0.547953910556565</f>
        <v>0.54795391055656495</v>
      </c>
      <c r="F23" s="2">
        <f>ROUND(Notes!$B$4*D23+Notes!$B$5*C23+Notes!$B$6*E23,4)</f>
        <v>0.69750000000000001</v>
      </c>
      <c r="G23" s="3">
        <f>RANK(F23,F$5:F$42,0)</f>
        <v>19</v>
      </c>
      <c r="H23" s="2">
        <f>C23</f>
        <v>0.54795391055656495</v>
      </c>
      <c r="I23" s="2">
        <f>D23</f>
        <v>0.88841124739643595</v>
      </c>
      <c r="J23" s="2">
        <f>E23</f>
        <v>0.54795391055656495</v>
      </c>
      <c r="K23" s="2">
        <f>ROUND(Notes!$B$4*I23+Notes!$B$5*H23+Notes!$B$6*J23,4)</f>
        <v>0.69750000000000001</v>
      </c>
      <c r="L23" s="3">
        <f>RANK(K23,K$5:K$42,0)</f>
        <v>19</v>
      </c>
    </row>
    <row r="24" spans="1:12" x14ac:dyDescent="0.45">
      <c r="A24" t="s">
        <v>63</v>
      </c>
      <c r="B24" t="s">
        <v>64</v>
      </c>
      <c r="C24" s="2">
        <f>0.518965517241379</f>
        <v>0.51896551724137896</v>
      </c>
      <c r="D24" s="2">
        <f>0.826923076923077</f>
        <v>0.82692307692307698</v>
      </c>
      <c r="E24" s="2">
        <f>0.737888702767901</f>
        <v>0.73788870276790097</v>
      </c>
      <c r="F24" s="2">
        <f>ROUND(Notes!$B$4*D24+Notes!$B$5*C24+Notes!$B$6*E24,4)</f>
        <v>0.68689999999999996</v>
      </c>
      <c r="G24" s="3">
        <f>RANK(F24,F$5:F$42,0)</f>
        <v>20</v>
      </c>
      <c r="H24" s="2">
        <f>C24</f>
        <v>0.51896551724137896</v>
      </c>
      <c r="I24" s="2">
        <f>D24</f>
        <v>0.82692307692307698</v>
      </c>
      <c r="J24" s="2">
        <f>E24</f>
        <v>0.73788870276790097</v>
      </c>
      <c r="K24" s="2">
        <f>ROUND(Notes!$B$4*I24+Notes!$B$5*H24+Notes!$B$6*J24,4)</f>
        <v>0.68689999999999996</v>
      </c>
      <c r="L24" s="3">
        <f>RANK(K24,K$5:K$42,0)</f>
        <v>20</v>
      </c>
    </row>
    <row r="25" spans="1:12" x14ac:dyDescent="0.45">
      <c r="A25" t="s">
        <v>65</v>
      </c>
      <c r="B25" t="s">
        <v>66</v>
      </c>
      <c r="C25" s="2">
        <f>0.391406012913837</f>
        <v>0.39140601291383698</v>
      </c>
      <c r="D25" s="2">
        <f>0.737888702767901</f>
        <v>0.73788870276790097</v>
      </c>
      <c r="E25" s="2">
        <f>0.869865253929667</f>
        <v>0.86986525392966696</v>
      </c>
      <c r="F25" s="2">
        <f>ROUND(Notes!$B$4*D25+Notes!$B$5*C25+Notes!$B$6*E25,4)</f>
        <v>0.6149</v>
      </c>
      <c r="G25" s="3">
        <f>RANK(F25,F$5:F$42,0)</f>
        <v>29</v>
      </c>
      <c r="H25" s="2">
        <f>C25</f>
        <v>0.39140601291383698</v>
      </c>
      <c r="I25" s="2">
        <f>D25</f>
        <v>0.73788870276790097</v>
      </c>
      <c r="J25" s="2">
        <f>E25</f>
        <v>0.86986525392966696</v>
      </c>
      <c r="K25" s="2">
        <f>ROUND(Notes!$B$4*I25+Notes!$B$5*H25+Notes!$B$6*J25,4)</f>
        <v>0.6149</v>
      </c>
      <c r="L25" s="3">
        <f>RANK(K25,K$5:K$42,0)</f>
        <v>29</v>
      </c>
    </row>
    <row r="26" spans="1:12" x14ac:dyDescent="0.45">
      <c r="A26" t="s">
        <v>67</v>
      </c>
      <c r="B26" t="s">
        <v>68</v>
      </c>
      <c r="C26" s="2">
        <f>0.408845614108812</f>
        <v>0.40884561410881198</v>
      </c>
      <c r="D26" s="2">
        <f>0.884365027341364</f>
        <v>0.88436502734136402</v>
      </c>
      <c r="E26" s="2">
        <f>0.737888702767901</f>
        <v>0.73788870276790097</v>
      </c>
      <c r="F26" s="2">
        <f>ROUND(Notes!$B$4*D26+Notes!$B$5*C26+Notes!$B$6*E26,4)</f>
        <v>0.66679999999999995</v>
      </c>
      <c r="G26" s="3">
        <f>RANK(F26,F$5:F$42,0)</f>
        <v>21</v>
      </c>
      <c r="H26" s="2">
        <f>C26</f>
        <v>0.40884561410881198</v>
      </c>
      <c r="I26" s="2">
        <f>D26</f>
        <v>0.88436502734136402</v>
      </c>
      <c r="J26" s="2">
        <f>E26</f>
        <v>0.73788870276790097</v>
      </c>
      <c r="K26" s="2">
        <f>ROUND(Notes!$B$4*I26+Notes!$B$5*H26+Notes!$B$6*J26,4)</f>
        <v>0.66679999999999995</v>
      </c>
      <c r="L26" s="3">
        <f>RANK(K26,K$5:K$42,0)</f>
        <v>21</v>
      </c>
    </row>
    <row r="27" spans="1:12" x14ac:dyDescent="0.45">
      <c r="A27" t="s">
        <v>69</v>
      </c>
      <c r="B27" t="s">
        <v>70</v>
      </c>
      <c r="C27" s="2">
        <f>0.431068736527055</f>
        <v>0.43106873652705502</v>
      </c>
      <c r="D27" s="2">
        <f>0.864149148541634</f>
        <v>0.86414914854163405</v>
      </c>
      <c r="E27" s="2">
        <f>0.69441435606903</f>
        <v>0.69441435606903001</v>
      </c>
      <c r="F27" s="2">
        <f>ROUND(Notes!$B$4*D27+Notes!$B$5*C27+Notes!$B$6*E27,4)</f>
        <v>0.66049999999999998</v>
      </c>
      <c r="G27" s="3">
        <f>RANK(F27,F$5:F$42,0)</f>
        <v>22</v>
      </c>
      <c r="H27" s="2">
        <f>C27</f>
        <v>0.43106873652705502</v>
      </c>
      <c r="I27" s="2">
        <f>D27</f>
        <v>0.86414914854163405</v>
      </c>
      <c r="J27" s="2">
        <f>E27</f>
        <v>0.69441435606903001</v>
      </c>
      <c r="K27" s="2">
        <f>ROUND(Notes!$B$4*I27+Notes!$B$5*H27+Notes!$B$6*J27,4)</f>
        <v>0.66049999999999998</v>
      </c>
      <c r="L27" s="3">
        <f>RANK(K27,K$5:K$42,0)</f>
        <v>22</v>
      </c>
    </row>
    <row r="28" spans="1:12" x14ac:dyDescent="0.45">
      <c r="A28" t="s">
        <v>71</v>
      </c>
      <c r="B28" t="s">
        <v>72</v>
      </c>
      <c r="C28" s="2">
        <f>0.391406012913837</f>
        <v>0.39140601291383698</v>
      </c>
      <c r="D28" s="2">
        <f>0.869865253929667</f>
        <v>0.86986525392966696</v>
      </c>
      <c r="E28" s="2">
        <f>0.737888702767901</f>
        <v>0.73788870276790097</v>
      </c>
      <c r="F28" s="2">
        <f>ROUND(Notes!$B$4*D28+Notes!$B$5*C28+Notes!$B$6*E28,4)</f>
        <v>0.6532</v>
      </c>
      <c r="G28" s="3">
        <f>RANK(F28,F$5:F$42,0)</f>
        <v>23</v>
      </c>
      <c r="H28" s="2">
        <f>C28</f>
        <v>0.39140601291383698</v>
      </c>
      <c r="I28" s="2">
        <f>D28</f>
        <v>0.86986525392966696</v>
      </c>
      <c r="J28" s="2">
        <f>E28</f>
        <v>0.73788870276790097</v>
      </c>
      <c r="K28" s="2">
        <f>ROUND(Notes!$B$4*I28+Notes!$B$5*H28+Notes!$B$6*J28,4)</f>
        <v>0.6532</v>
      </c>
      <c r="L28" s="3">
        <f>RANK(K28,K$5:K$42,0)</f>
        <v>23</v>
      </c>
    </row>
    <row r="29" spans="1:12" x14ac:dyDescent="0.45">
      <c r="A29" t="s">
        <v>73</v>
      </c>
      <c r="B29" t="s">
        <v>74</v>
      </c>
      <c r="C29" s="2">
        <f>0.479318672008477</f>
        <v>0.479318672008477</v>
      </c>
      <c r="D29" s="2">
        <f>0.851484971473245</f>
        <v>0.85148497147324498</v>
      </c>
      <c r="E29" s="2">
        <f>0.547953910556565</f>
        <v>0.54795391055656495</v>
      </c>
      <c r="F29" s="2">
        <f>ROUND(Notes!$B$4*D29+Notes!$B$5*C29+Notes!$B$6*E29,4)</f>
        <v>0.65300000000000002</v>
      </c>
      <c r="G29" s="3">
        <f>RANK(F29,F$5:F$42,0)</f>
        <v>24</v>
      </c>
      <c r="H29" s="2">
        <f>C29</f>
        <v>0.479318672008477</v>
      </c>
      <c r="I29" s="2">
        <f>D29</f>
        <v>0.85148497147324498</v>
      </c>
      <c r="J29" s="2">
        <f>E29</f>
        <v>0.54795391055656495</v>
      </c>
      <c r="K29" s="2">
        <f>ROUND(Notes!$B$4*I29+Notes!$B$5*H29+Notes!$B$6*J29,4)</f>
        <v>0.65300000000000002</v>
      </c>
      <c r="L29" s="3">
        <f>RANK(K29,K$5:K$42,0)</f>
        <v>24</v>
      </c>
    </row>
    <row r="30" spans="1:12" x14ac:dyDescent="0.45">
      <c r="A30" t="s">
        <v>75</v>
      </c>
      <c r="B30" t="s">
        <v>76</v>
      </c>
      <c r="C30" s="2">
        <f>0.391406012913837</f>
        <v>0.39140601291383698</v>
      </c>
      <c r="D30" s="2">
        <f>0.826923076923077</f>
        <v>0.82692307692307698</v>
      </c>
      <c r="E30" s="2">
        <f>0.81340644290143</f>
        <v>0.81340644290143005</v>
      </c>
      <c r="F30" s="2">
        <f>ROUND(Notes!$B$4*D30+Notes!$B$5*C30+Notes!$B$6*E30,4)</f>
        <v>0.64559999999999995</v>
      </c>
      <c r="G30" s="3">
        <f>RANK(F30,F$5:F$42,0)</f>
        <v>25</v>
      </c>
      <c r="H30" s="2">
        <f>C30</f>
        <v>0.39140601291383698</v>
      </c>
      <c r="I30" s="2">
        <f>D30</f>
        <v>0.82692307692307698</v>
      </c>
      <c r="J30" s="2">
        <f>E30</f>
        <v>0.81340644290143005</v>
      </c>
      <c r="K30" s="2">
        <f>ROUND(Notes!$B$4*I30+Notes!$B$5*H30+Notes!$B$6*J30,4)</f>
        <v>0.64559999999999995</v>
      </c>
      <c r="L30" s="3">
        <f>RANK(K30,K$5:K$42,0)</f>
        <v>25</v>
      </c>
    </row>
    <row r="31" spans="1:12" x14ac:dyDescent="0.45">
      <c r="A31" t="s">
        <v>77</v>
      </c>
      <c r="B31" t="s">
        <v>78</v>
      </c>
      <c r="C31" s="2">
        <f>0.479318672008477</f>
        <v>0.479318672008477</v>
      </c>
      <c r="D31" s="2">
        <f>0.787075165170195</f>
        <v>0.78707516517019505</v>
      </c>
      <c r="E31" s="2">
        <f>0.646263719038607</f>
        <v>0.64626371903860702</v>
      </c>
      <c r="F31" s="2">
        <f>ROUND(Notes!$B$4*D31+Notes!$B$5*C31+Notes!$B$6*E31,4)</f>
        <v>0.63939999999999997</v>
      </c>
      <c r="G31" s="3">
        <f>RANK(F31,F$5:F$42,0)</f>
        <v>26</v>
      </c>
      <c r="H31" s="2">
        <f>C31</f>
        <v>0.479318672008477</v>
      </c>
      <c r="I31" s="2">
        <f>D31</f>
        <v>0.78707516517019505</v>
      </c>
      <c r="J31" s="2">
        <f>E31</f>
        <v>0.64626371903860702</v>
      </c>
      <c r="K31" s="2">
        <f>ROUND(Notes!$B$4*I31+Notes!$B$5*H31+Notes!$B$6*J31,4)</f>
        <v>0.63939999999999997</v>
      </c>
      <c r="L31" s="3">
        <f>RANK(K31,K$5:K$42,0)</f>
        <v>26</v>
      </c>
    </row>
    <row r="32" spans="1:12" x14ac:dyDescent="0.45">
      <c r="A32" t="s">
        <v>79</v>
      </c>
      <c r="B32" t="s">
        <v>80</v>
      </c>
      <c r="C32" s="2">
        <f>0.479318672008477</f>
        <v>0.479318672008477</v>
      </c>
      <c r="D32" s="2">
        <f>0.737888702767901</f>
        <v>0.73788870276790097</v>
      </c>
      <c r="E32" s="2">
        <f>0.737888702767901</f>
        <v>0.73788870276790097</v>
      </c>
      <c r="F32" s="2">
        <f>ROUND(Notes!$B$4*D32+Notes!$B$5*C32+Notes!$B$6*E32,4)</f>
        <v>0.63139999999999996</v>
      </c>
      <c r="G32" s="3">
        <f>RANK(F32,F$5:F$42,0)</f>
        <v>27</v>
      </c>
      <c r="H32" s="2">
        <f>C32</f>
        <v>0.479318672008477</v>
      </c>
      <c r="I32" s="2">
        <f>D32</f>
        <v>0.73788870276790097</v>
      </c>
      <c r="J32" s="2">
        <f>E32</f>
        <v>0.73788870276790097</v>
      </c>
      <c r="K32" s="2">
        <f>ROUND(Notes!$B$4*I32+Notes!$B$5*H32+Notes!$B$6*J32,4)</f>
        <v>0.63139999999999996</v>
      </c>
      <c r="L32" s="3">
        <f>RANK(K32,K$5:K$42,0)</f>
        <v>27</v>
      </c>
    </row>
    <row r="33" spans="1:12" x14ac:dyDescent="0.45">
      <c r="A33" t="s">
        <v>81</v>
      </c>
      <c r="B33" t="s">
        <v>82</v>
      </c>
      <c r="C33" s="2">
        <f>0.338474732816403</f>
        <v>0.338474732816403</v>
      </c>
      <c r="D33" s="2">
        <f>0.813463195231154</f>
        <v>0.81346319523115396</v>
      </c>
      <c r="E33" s="2">
        <f>0.869865253929667</f>
        <v>0.86986525392966696</v>
      </c>
      <c r="F33" s="2">
        <f>ROUND(Notes!$B$4*D33+Notes!$B$5*C33+Notes!$B$6*E33,4)</f>
        <v>0.62629999999999997</v>
      </c>
      <c r="G33" s="3">
        <f>RANK(F33,F$5:F$42,0)</f>
        <v>28</v>
      </c>
      <c r="H33" s="2">
        <f>C33</f>
        <v>0.338474732816403</v>
      </c>
      <c r="I33" s="2">
        <f>D33</f>
        <v>0.81346319523115396</v>
      </c>
      <c r="J33" s="2">
        <f>E33</f>
        <v>0.86986525392966696</v>
      </c>
      <c r="K33" s="2">
        <f>ROUND(Notes!$B$4*I33+Notes!$B$5*H33+Notes!$B$6*J33,4)</f>
        <v>0.62629999999999997</v>
      </c>
      <c r="L33" s="3">
        <f>RANK(K33,K$5:K$42,0)</f>
        <v>28</v>
      </c>
    </row>
    <row r="34" spans="1:12" x14ac:dyDescent="0.45">
      <c r="A34" t="s">
        <v>83</v>
      </c>
      <c r="B34" t="s">
        <v>84</v>
      </c>
      <c r="C34" s="2">
        <f>0.391406012913837</f>
        <v>0.39140601291383698</v>
      </c>
      <c r="D34" s="2">
        <f>0.778563038959402</f>
        <v>0.77856303895940204</v>
      </c>
      <c r="E34" s="2">
        <f>0.737888702767901</f>
        <v>0.73788870276790097</v>
      </c>
      <c r="F34" s="2">
        <f>ROUND(Notes!$B$4*D34+Notes!$B$5*C34+Notes!$B$6*E34,4)</f>
        <v>0.61309999999999998</v>
      </c>
      <c r="G34" s="3">
        <f>RANK(F34,F$5:F$42,0)</f>
        <v>30</v>
      </c>
      <c r="H34" s="2">
        <f>C34</f>
        <v>0.39140601291383698</v>
      </c>
      <c r="I34" s="2">
        <f>D34</f>
        <v>0.77856303895940204</v>
      </c>
      <c r="J34" s="2">
        <f>E34</f>
        <v>0.73788870276790097</v>
      </c>
      <c r="K34" s="2">
        <f>ROUND(Notes!$B$4*I34+Notes!$B$5*H34+Notes!$B$6*J34,4)</f>
        <v>0.61309999999999998</v>
      </c>
      <c r="L34" s="3">
        <f>RANK(K34,K$5:K$42,0)</f>
        <v>30</v>
      </c>
    </row>
    <row r="35" spans="1:12" x14ac:dyDescent="0.45">
      <c r="A35" t="s">
        <v>85</v>
      </c>
      <c r="B35" t="s">
        <v>86</v>
      </c>
      <c r="C35" s="2">
        <f>0.278958448750364</f>
        <v>0.27895844875036402</v>
      </c>
      <c r="D35" s="2">
        <f>0.859028659709284</f>
        <v>0.85902865970928399</v>
      </c>
      <c r="E35" s="2">
        <f>0.787075165170195</f>
        <v>0.78707516517019505</v>
      </c>
      <c r="F35" s="2">
        <f>ROUND(Notes!$B$4*D35+Notes!$B$5*C35+Notes!$B$6*E35,4)</f>
        <v>0.60950000000000004</v>
      </c>
      <c r="G35" s="3">
        <f>RANK(F35,F$5:F$42,0)</f>
        <v>31</v>
      </c>
      <c r="H35" s="2">
        <f>C35</f>
        <v>0.27895844875036402</v>
      </c>
      <c r="I35" s="2">
        <f>D35</f>
        <v>0.85902865970928399</v>
      </c>
      <c r="J35" s="2">
        <f>E35</f>
        <v>0.78707516517019505</v>
      </c>
      <c r="K35" s="2">
        <f>ROUND(Notes!$B$4*I35+Notes!$B$5*H35+Notes!$B$6*J35,4)</f>
        <v>0.60950000000000004</v>
      </c>
      <c r="L35" s="3">
        <f>RANK(K35,K$5:K$42,0)</f>
        <v>31</v>
      </c>
    </row>
    <row r="36" spans="1:12" x14ac:dyDescent="0.45">
      <c r="A36" t="s">
        <v>87</v>
      </c>
      <c r="B36" t="s">
        <v>88</v>
      </c>
      <c r="C36" s="2">
        <f>0.373913043478261</f>
        <v>0.37391304347826099</v>
      </c>
      <c r="D36" s="2">
        <f>0.781818181818182</f>
        <v>0.78181818181818197</v>
      </c>
      <c r="E36" s="2">
        <f>0.737888702767901</f>
        <v>0.73788870276790097</v>
      </c>
      <c r="F36" s="2">
        <f>ROUND(Notes!$B$4*D36+Notes!$B$5*C36+Notes!$B$6*E36,4)</f>
        <v>0.60729999999999995</v>
      </c>
      <c r="G36" s="3">
        <f>RANK(F36,F$5:F$42,0)</f>
        <v>32</v>
      </c>
      <c r="H36" s="2">
        <f>C36</f>
        <v>0.37391304347826099</v>
      </c>
      <c r="I36" s="2">
        <f>D36</f>
        <v>0.78181818181818197</v>
      </c>
      <c r="J36" s="2">
        <f>E36</f>
        <v>0.73788870276790097</v>
      </c>
      <c r="K36" s="2">
        <f>ROUND(Notes!$B$4*I36+Notes!$B$5*H36+Notes!$B$6*J36,4)</f>
        <v>0.60729999999999995</v>
      </c>
      <c r="L36" s="3">
        <f>RANK(K36,K$5:K$42,0)</f>
        <v>32</v>
      </c>
    </row>
    <row r="37" spans="1:12" x14ac:dyDescent="0.45">
      <c r="A37" t="s">
        <v>89</v>
      </c>
      <c r="B37" t="s">
        <v>90</v>
      </c>
      <c r="C37" s="2">
        <f>0.338474732816403</f>
        <v>0.338474732816403</v>
      </c>
      <c r="D37" s="2">
        <f>0.737888702767901</f>
        <v>0.73788870276790097</v>
      </c>
      <c r="E37" s="2">
        <f>0.869865253929667</f>
        <v>0.86986525392966696</v>
      </c>
      <c r="F37" s="2">
        <f>ROUND(Notes!$B$4*D37+Notes!$B$5*C37+Notes!$B$6*E37,4)</f>
        <v>0.59319999999999995</v>
      </c>
      <c r="G37" s="3">
        <f>RANK(F37,F$5:F$42,0)</f>
        <v>33</v>
      </c>
      <c r="H37" s="2">
        <f>C37</f>
        <v>0.338474732816403</v>
      </c>
      <c r="I37" s="2">
        <f>D37</f>
        <v>0.73788870276790097</v>
      </c>
      <c r="J37" s="2">
        <f>E37</f>
        <v>0.86986525392966696</v>
      </c>
      <c r="K37" s="2">
        <f>ROUND(Notes!$B$4*I37+Notes!$B$5*H37+Notes!$B$6*J37,4)</f>
        <v>0.59319999999999995</v>
      </c>
      <c r="L37" s="3">
        <f>RANK(K37,K$5:K$42,0)</f>
        <v>33</v>
      </c>
    </row>
    <row r="38" spans="1:12" x14ac:dyDescent="0.45">
      <c r="A38" t="s">
        <v>91</v>
      </c>
      <c r="B38" t="s">
        <v>92</v>
      </c>
      <c r="C38" s="2">
        <f>0.278958448750364</f>
        <v>0.27895844875036402</v>
      </c>
      <c r="D38" s="2">
        <f>0.822456690745778</f>
        <v>0.82245669074577799</v>
      </c>
      <c r="E38" s="2">
        <f>0.737888702767901</f>
        <v>0.73788870276790097</v>
      </c>
      <c r="F38" s="2">
        <f>ROUND(Notes!$B$4*D38+Notes!$B$5*C38+Notes!$B$6*E38,4)</f>
        <v>0.58609999999999995</v>
      </c>
      <c r="G38" s="3">
        <f>RANK(F38,F$5:F$42,0)</f>
        <v>34</v>
      </c>
      <c r="H38" s="2">
        <f>C38</f>
        <v>0.27895844875036402</v>
      </c>
      <c r="I38" s="2">
        <f>D38</f>
        <v>0.82245669074577799</v>
      </c>
      <c r="J38" s="2">
        <f>E38</f>
        <v>0.73788870276790097</v>
      </c>
      <c r="K38" s="2">
        <f>ROUND(Notes!$B$4*I38+Notes!$B$5*H38+Notes!$B$6*J38,4)</f>
        <v>0.58609999999999995</v>
      </c>
      <c r="L38" s="3">
        <f>RANK(K38,K$5:K$42,0)</f>
        <v>34</v>
      </c>
    </row>
    <row r="39" spans="1:12" x14ac:dyDescent="0.45">
      <c r="A39" t="s">
        <v>93</v>
      </c>
      <c r="B39" t="s">
        <v>94</v>
      </c>
      <c r="C39" s="2">
        <f>0.278958448750364</f>
        <v>0.27895844875036402</v>
      </c>
      <c r="D39" s="2">
        <f>0.816200383417959</f>
        <v>0.81620038341795897</v>
      </c>
      <c r="E39" s="2">
        <f>0.737888702767901</f>
        <v>0.73788870276790097</v>
      </c>
      <c r="F39" s="2">
        <f>ROUND(Notes!$B$4*D39+Notes!$B$5*C39+Notes!$B$6*E39,4)</f>
        <v>0.58340000000000003</v>
      </c>
      <c r="G39" s="3">
        <f>RANK(F39,F$5:F$42,0)</f>
        <v>35</v>
      </c>
      <c r="H39" s="2">
        <f>C39</f>
        <v>0.27895844875036402</v>
      </c>
      <c r="I39" s="2">
        <f>D39</f>
        <v>0.81620038341795897</v>
      </c>
      <c r="J39" s="2">
        <f>E39</f>
        <v>0.73788870276790097</v>
      </c>
      <c r="K39" s="2">
        <f>ROUND(Notes!$B$4*I39+Notes!$B$5*H39+Notes!$B$6*J39,4)</f>
        <v>0.58340000000000003</v>
      </c>
      <c r="L39" s="3">
        <f>RANK(K39,K$5:K$42,0)</f>
        <v>35</v>
      </c>
    </row>
    <row r="40" spans="1:12" x14ac:dyDescent="0.45">
      <c r="A40" t="s">
        <v>95</v>
      </c>
      <c r="B40" t="s">
        <v>96</v>
      </c>
      <c r="C40" s="2">
        <f>0.305956530933891</f>
        <v>0.30595653093389102</v>
      </c>
      <c r="D40" s="2">
        <f>0.737888702767901</f>
        <v>0.73788870276790097</v>
      </c>
      <c r="E40" s="2">
        <f>0.869865253929667</f>
        <v>0.86986525392966696</v>
      </c>
      <c r="F40" s="2">
        <f>ROUND(Notes!$B$4*D40+Notes!$B$5*C40+Notes!$B$6*E40,4)</f>
        <v>0.57979999999999998</v>
      </c>
      <c r="G40" s="3">
        <f>RANK(F40,F$5:F$42,0)</f>
        <v>36</v>
      </c>
      <c r="H40" s="2">
        <f>C40</f>
        <v>0.30595653093389102</v>
      </c>
      <c r="I40" s="2">
        <f>D40</f>
        <v>0.73788870276790097</v>
      </c>
      <c r="J40" s="2">
        <f>E40</f>
        <v>0.86986525392966696</v>
      </c>
      <c r="K40" s="2">
        <f>ROUND(Notes!$B$4*I40+Notes!$B$5*H40+Notes!$B$6*J40,4)</f>
        <v>0.57979999999999998</v>
      </c>
      <c r="L40" s="3">
        <f>RANK(K40,K$5:K$42,0)</f>
        <v>36</v>
      </c>
    </row>
    <row r="41" spans="1:12" x14ac:dyDescent="0.45">
      <c r="A41" t="s">
        <v>97</v>
      </c>
      <c r="B41" t="s">
        <v>98</v>
      </c>
      <c r="C41" s="2">
        <f>0.2</f>
        <v>0.2</v>
      </c>
      <c r="D41" s="2">
        <f>0.74468085106383</f>
        <v>0.74468085106382997</v>
      </c>
      <c r="E41" s="2">
        <f>0.547953910556565</f>
        <v>0.54795391055656495</v>
      </c>
      <c r="F41" s="2">
        <f>ROUND(Notes!$B$4*D41+Notes!$B$5*C41+Notes!$B$6*E41,4)</f>
        <v>0.49109999999999998</v>
      </c>
      <c r="G41" s="3">
        <f>RANK(F41,F$5:F$42,0)</f>
        <v>37</v>
      </c>
      <c r="H41" s="2">
        <f>C41</f>
        <v>0.2</v>
      </c>
      <c r="I41" s="2">
        <f>D41</f>
        <v>0.74468085106382997</v>
      </c>
      <c r="J41" s="2">
        <f>E41</f>
        <v>0.54795391055656495</v>
      </c>
      <c r="K41" s="2">
        <f>ROUND(Notes!$B$4*I41+Notes!$B$5*H41+Notes!$B$6*J41,4)</f>
        <v>0.49109999999999998</v>
      </c>
      <c r="L41" s="3">
        <f>RANK(K41,K$5:K$42,0)</f>
        <v>37</v>
      </c>
    </row>
    <row r="42" spans="1:12" x14ac:dyDescent="0.45">
      <c r="A42" t="s">
        <v>99</v>
      </c>
      <c r="B42" t="s">
        <v>100</v>
      </c>
      <c r="C42" s="2">
        <f>0.42321653857669</f>
        <v>0.42321653857669</v>
      </c>
      <c r="D42" s="2">
        <f>0.705977756078566</f>
        <v>0.70597775607856605</v>
      </c>
      <c r="E42" s="2">
        <f>0</f>
        <v>0</v>
      </c>
      <c r="F42" s="2">
        <f>ROUND(Notes!$B$4*D42+Notes!$B$5*C42+Notes!$B$6*E42,4)</f>
        <v>0.48420000000000002</v>
      </c>
      <c r="G42" s="3">
        <f>RANK(F42,F$5:F$42,0)</f>
        <v>38</v>
      </c>
      <c r="H42" s="2">
        <f>C42</f>
        <v>0.42321653857669</v>
      </c>
      <c r="I42" s="2">
        <f>D42</f>
        <v>0.70597775607856605</v>
      </c>
      <c r="J42" s="2">
        <f>E42</f>
        <v>0</v>
      </c>
      <c r="K42" s="2">
        <f>ROUND(Notes!$B$4*I42+Notes!$B$5*H42+Notes!$B$6*J42,4)</f>
        <v>0.48420000000000002</v>
      </c>
      <c r="L42" s="3">
        <f>RANK(K42,K$5:K$42,0)</f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4A78-3664-43D6-9D8B-2EBC60B97763}">
  <dimension ref="A1:L42"/>
  <sheetViews>
    <sheetView workbookViewId="0"/>
  </sheetViews>
  <sheetFormatPr defaultRowHeight="14.25" x14ac:dyDescent="0.45"/>
  <cols>
    <col min="1" max="1" width="20.59765625" customWidth="1"/>
    <col min="3" max="12" width="13.59765625" customWidth="1"/>
  </cols>
  <sheetData>
    <row r="1" spans="1:12" x14ac:dyDescent="0.45">
      <c r="A1" s="1" t="s">
        <v>103</v>
      </c>
    </row>
    <row r="2" spans="1:12" x14ac:dyDescent="0.45">
      <c r="A2" t="s">
        <v>12</v>
      </c>
    </row>
    <row r="4" spans="1:12" x14ac:dyDescent="0.45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</row>
    <row r="5" spans="1:12" x14ac:dyDescent="0.45">
      <c r="A5" t="s">
        <v>25</v>
      </c>
      <c r="B5" t="s">
        <v>26</v>
      </c>
      <c r="C5" s="2">
        <f>1</f>
        <v>1</v>
      </c>
      <c r="D5" s="2">
        <f>1</f>
        <v>1</v>
      </c>
      <c r="E5" s="2">
        <f>1</f>
        <v>1</v>
      </c>
      <c r="F5" s="2">
        <f>ROUND(Notes!$B$4*D5+Notes!$B$5*C5+Notes!$B$6*E5,4)</f>
        <v>1</v>
      </c>
      <c r="G5" s="3">
        <f>RANK(F5,F$5:F$42,0)</f>
        <v>1</v>
      </c>
      <c r="H5" s="2">
        <f>C5</f>
        <v>1</v>
      </c>
      <c r="I5" s="2">
        <f>D5</f>
        <v>1</v>
      </c>
      <c r="J5" s="2">
        <f>E5</f>
        <v>1</v>
      </c>
      <c r="K5" s="2">
        <f>ROUND(Notes!$B$4*I5+Notes!$B$5*H5+Notes!$B$6*J5,4)</f>
        <v>1</v>
      </c>
      <c r="L5" s="3">
        <f>RANK(K5,K$5:K$42,0)</f>
        <v>1</v>
      </c>
    </row>
    <row r="6" spans="1:12" x14ac:dyDescent="0.45">
      <c r="A6" t="s">
        <v>27</v>
      </c>
      <c r="B6" t="s">
        <v>28</v>
      </c>
      <c r="C6" s="2">
        <f>1</f>
        <v>1</v>
      </c>
      <c r="D6" s="2">
        <f>1</f>
        <v>1</v>
      </c>
      <c r="E6" s="2">
        <f>1</f>
        <v>1</v>
      </c>
      <c r="F6" s="2">
        <f>ROUND(Notes!$B$4*D6+Notes!$B$5*C6+Notes!$B$6*E6,4)</f>
        <v>1</v>
      </c>
      <c r="G6" s="3">
        <f>RANK(F6,F$5:F$42,0)</f>
        <v>1</v>
      </c>
      <c r="H6" s="2">
        <f>C6</f>
        <v>1</v>
      </c>
      <c r="I6" s="2">
        <f>D6</f>
        <v>1</v>
      </c>
      <c r="J6" s="2">
        <f>E6</f>
        <v>1</v>
      </c>
      <c r="K6" s="2">
        <f>ROUND(Notes!$B$4*I6+Notes!$B$5*H6+Notes!$B$6*J6,4)</f>
        <v>1</v>
      </c>
      <c r="L6" s="3">
        <f>RANK(K6,K$5:K$42,0)</f>
        <v>1</v>
      </c>
    </row>
    <row r="7" spans="1:12" x14ac:dyDescent="0.45">
      <c r="A7" t="s">
        <v>29</v>
      </c>
      <c r="B7" t="s">
        <v>30</v>
      </c>
      <c r="C7" s="2">
        <f>0.34958311169213</f>
        <v>0.34958311169213002</v>
      </c>
      <c r="D7" s="2">
        <f>1</f>
        <v>1</v>
      </c>
      <c r="E7" s="2">
        <f>0.632751338890881</f>
        <v>0.63275133889088098</v>
      </c>
      <c r="F7" s="2">
        <f>ROUND(Notes!$B$4*D7+Notes!$B$5*C7+Notes!$B$6*E7,4)</f>
        <v>0.6774</v>
      </c>
      <c r="G7" s="3">
        <f>RANK(F7,F$5:F$42,0)</f>
        <v>20</v>
      </c>
      <c r="H7" s="2">
        <f>C7</f>
        <v>0.34958311169213002</v>
      </c>
      <c r="I7" s="2">
        <f>D7</f>
        <v>1</v>
      </c>
      <c r="J7" s="2">
        <f>E7</f>
        <v>0.63275133889088098</v>
      </c>
      <c r="K7" s="2">
        <f>ROUND(Notes!$B$4*I7+Notes!$B$5*H7+Notes!$B$6*J7,4)</f>
        <v>0.6774</v>
      </c>
      <c r="L7" s="3">
        <f>RANK(K7,K$5:K$42,0)</f>
        <v>20</v>
      </c>
    </row>
    <row r="8" spans="1:12" x14ac:dyDescent="0.45">
      <c r="A8" t="s">
        <v>31</v>
      </c>
      <c r="B8" t="s">
        <v>32</v>
      </c>
      <c r="C8" s="2">
        <f>0.826923076923077</f>
        <v>0.82692307692307698</v>
      </c>
      <c r="D8" s="2">
        <f>1</f>
        <v>1</v>
      </c>
      <c r="E8" s="2">
        <f>1</f>
        <v>1</v>
      </c>
      <c r="F8" s="2">
        <f>ROUND(Notes!$B$4*D8+Notes!$B$5*C8+Notes!$B$6*E8,4)</f>
        <v>0.92879999999999996</v>
      </c>
      <c r="G8" s="3">
        <f>RANK(F8,F$5:F$42,0)</f>
        <v>3</v>
      </c>
      <c r="H8" s="2">
        <f>C8</f>
        <v>0.82692307692307698</v>
      </c>
      <c r="I8" s="2">
        <f>D8</f>
        <v>1</v>
      </c>
      <c r="J8" s="2">
        <f>E8</f>
        <v>1</v>
      </c>
      <c r="K8" s="2">
        <f>ROUND(Notes!$B$4*I8+Notes!$B$5*H8+Notes!$B$6*J8,4)</f>
        <v>0.92879999999999996</v>
      </c>
      <c r="L8" s="3">
        <f>RANK(K8,K$5:K$42,0)</f>
        <v>3</v>
      </c>
    </row>
    <row r="9" spans="1:12" x14ac:dyDescent="0.45">
      <c r="A9" t="s">
        <v>33</v>
      </c>
      <c r="B9" t="s">
        <v>34</v>
      </c>
      <c r="C9" s="2">
        <f>0.635714285714286</f>
        <v>0.63571428571428601</v>
      </c>
      <c r="D9" s="2">
        <f>1</f>
        <v>1</v>
      </c>
      <c r="E9" s="2">
        <f>0.43</f>
        <v>0.43</v>
      </c>
      <c r="F9" s="2">
        <f>ROUND(Notes!$B$4*D9+Notes!$B$5*C9+Notes!$B$6*E9,4)</f>
        <v>0.76500000000000001</v>
      </c>
      <c r="G9" s="3">
        <f>RANK(F9,F$5:F$42,0)</f>
        <v>4</v>
      </c>
      <c r="H9" s="2">
        <f>1</f>
        <v>1</v>
      </c>
      <c r="I9" s="2">
        <f>1</f>
        <v>1</v>
      </c>
      <c r="J9" s="2">
        <f>E9</f>
        <v>0.43</v>
      </c>
      <c r="K9" s="2">
        <f>ROUND(Notes!$B$4*I9+Notes!$B$5*H9+Notes!$B$6*J9,4)</f>
        <v>0.91490000000000005</v>
      </c>
      <c r="L9" s="3">
        <f>RANK(K9,K$5:K$42,0)</f>
        <v>4</v>
      </c>
    </row>
    <row r="10" spans="1:12" x14ac:dyDescent="0.45">
      <c r="A10" t="s">
        <v>35</v>
      </c>
      <c r="B10" t="s">
        <v>36</v>
      </c>
      <c r="C10" s="2">
        <f>0.576669379707147</f>
        <v>0.57666937970714705</v>
      </c>
      <c r="D10" s="2">
        <f>0.869865253929667</f>
        <v>0.86986525392966696</v>
      </c>
      <c r="E10" s="2">
        <f>0.965116279069767</f>
        <v>0.96511627906976705</v>
      </c>
      <c r="F10" s="2">
        <f>ROUND(Notes!$B$4*D10+Notes!$B$5*C10+Notes!$B$6*E10,4)</f>
        <v>0.76339999999999997</v>
      </c>
      <c r="G10" s="3">
        <f>RANK(F10,F$5:F$42,0)</f>
        <v>5</v>
      </c>
      <c r="H10" s="2">
        <f>C10</f>
        <v>0.57666937970714705</v>
      </c>
      <c r="I10" s="2">
        <f>D10</f>
        <v>0.86986525392966696</v>
      </c>
      <c r="J10" s="2">
        <f>E10</f>
        <v>0.96511627906976705</v>
      </c>
      <c r="K10" s="2">
        <f>ROUND(Notes!$B$4*I10+Notes!$B$5*H10+Notes!$B$6*J10,4)</f>
        <v>0.76339999999999997</v>
      </c>
      <c r="L10" s="3">
        <f>RANK(K10,K$5:K$42,0)</f>
        <v>5</v>
      </c>
    </row>
    <row r="11" spans="1:12" x14ac:dyDescent="0.45">
      <c r="A11" t="s">
        <v>37</v>
      </c>
      <c r="B11" t="s">
        <v>38</v>
      </c>
      <c r="C11" s="2">
        <f>0.547953910556565</f>
        <v>0.54795391055656495</v>
      </c>
      <c r="D11" s="2">
        <f>0.921720532319392</f>
        <v>0.92172053231939199</v>
      </c>
      <c r="E11" s="2">
        <f>0.813463195231154</f>
        <v>0.81346319523115396</v>
      </c>
      <c r="F11" s="2">
        <f>ROUND(Notes!$B$4*D11+Notes!$B$5*C11+Notes!$B$6*E11,4)</f>
        <v>0.75170000000000003</v>
      </c>
      <c r="G11" s="3">
        <f>RANK(F11,F$5:F$42,0)</f>
        <v>6</v>
      </c>
      <c r="H11" s="2">
        <f>C11</f>
        <v>0.54795391055656495</v>
      </c>
      <c r="I11" s="2">
        <f>D11</f>
        <v>0.92172053231939199</v>
      </c>
      <c r="J11" s="2">
        <f>E11</f>
        <v>0.81346319523115396</v>
      </c>
      <c r="K11" s="2">
        <f>ROUND(Notes!$B$4*I11+Notes!$B$5*H11+Notes!$B$6*J11,4)</f>
        <v>0.75170000000000003</v>
      </c>
      <c r="L11" s="3">
        <f>RANK(K11,K$5:K$42,0)</f>
        <v>6</v>
      </c>
    </row>
    <row r="12" spans="1:12" x14ac:dyDescent="0.45">
      <c r="A12" t="s">
        <v>39</v>
      </c>
      <c r="B12" t="s">
        <v>40</v>
      </c>
      <c r="C12" s="2">
        <f>0.602353618717047</f>
        <v>0.60235361871704696</v>
      </c>
      <c r="D12" s="2">
        <f>0.86</f>
        <v>0.86</v>
      </c>
      <c r="E12" s="2">
        <f>0.812269350072009</f>
        <v>0.81226935007200896</v>
      </c>
      <c r="F12" s="2">
        <f>ROUND(Notes!$B$4*D12+Notes!$B$5*C12+Notes!$B$6*E12,4)</f>
        <v>0.74680000000000002</v>
      </c>
      <c r="G12" s="3">
        <f>RANK(F12,F$5:F$42,0)</f>
        <v>7</v>
      </c>
      <c r="H12" s="2">
        <f>C12</f>
        <v>0.60235361871704696</v>
      </c>
      <c r="I12" s="2">
        <f>D12</f>
        <v>0.86</v>
      </c>
      <c r="J12" s="2">
        <f>E12</f>
        <v>0.81226935007200896</v>
      </c>
      <c r="K12" s="2">
        <f>ROUND(Notes!$B$4*I12+Notes!$B$5*H12+Notes!$B$6*J12,4)</f>
        <v>0.74680000000000002</v>
      </c>
      <c r="L12" s="3">
        <f>RANK(K12,K$5:K$42,0)</f>
        <v>7</v>
      </c>
    </row>
    <row r="13" spans="1:12" x14ac:dyDescent="0.45">
      <c r="A13" t="s">
        <v>41</v>
      </c>
      <c r="B13" t="s">
        <v>42</v>
      </c>
      <c r="C13" s="2">
        <f>0.547953910556565</f>
        <v>0.54795391055656495</v>
      </c>
      <c r="D13" s="2">
        <f>0.880275603755891</f>
        <v>0.88027560375589098</v>
      </c>
      <c r="E13" s="2">
        <f>0.869865253929667</f>
        <v>0.86986525392966696</v>
      </c>
      <c r="F13" s="2">
        <f>ROUND(Notes!$B$4*D13+Notes!$B$5*C13+Notes!$B$6*E13,4)</f>
        <v>0.7419</v>
      </c>
      <c r="G13" s="3">
        <f>RANK(F13,F$5:F$42,0)</f>
        <v>8</v>
      </c>
      <c r="H13" s="2">
        <f>C13</f>
        <v>0.54795391055656495</v>
      </c>
      <c r="I13" s="2">
        <f>D13</f>
        <v>0.88027560375589098</v>
      </c>
      <c r="J13" s="2">
        <f>E13</f>
        <v>0.86986525392966696</v>
      </c>
      <c r="K13" s="2">
        <f>ROUND(Notes!$B$4*I13+Notes!$B$5*H13+Notes!$B$6*J13,4)</f>
        <v>0.7419</v>
      </c>
      <c r="L13" s="3">
        <f>RANK(K13,K$5:K$42,0)</f>
        <v>8</v>
      </c>
    </row>
    <row r="14" spans="1:12" x14ac:dyDescent="0.45">
      <c r="A14" t="s">
        <v>43</v>
      </c>
      <c r="B14" t="s">
        <v>44</v>
      </c>
      <c r="C14" s="2">
        <f>0.554838709677419</f>
        <v>0.554838709677419</v>
      </c>
      <c r="D14" s="2">
        <f>0.86</f>
        <v>0.86</v>
      </c>
      <c r="E14" s="2">
        <f>0.905263157894737</f>
        <v>0.90526315789473699</v>
      </c>
      <c r="F14" s="2">
        <f>ROUND(Notes!$B$4*D14+Notes!$B$5*C14+Notes!$B$6*E14,4)</f>
        <v>0.74109999999999998</v>
      </c>
      <c r="G14" s="3">
        <f>RANK(F14,F$5:F$42,0)</f>
        <v>9</v>
      </c>
      <c r="H14" s="2">
        <f>C14</f>
        <v>0.554838709677419</v>
      </c>
      <c r="I14" s="2">
        <f>D14</f>
        <v>0.86</v>
      </c>
      <c r="J14" s="2">
        <f>E14</f>
        <v>0.90526315789473699</v>
      </c>
      <c r="K14" s="2">
        <f>ROUND(Notes!$B$4*I14+Notes!$B$5*H14+Notes!$B$6*J14,4)</f>
        <v>0.74109999999999998</v>
      </c>
      <c r="L14" s="3">
        <f>RANK(K14,K$5:K$42,0)</f>
        <v>9</v>
      </c>
    </row>
    <row r="15" spans="1:12" x14ac:dyDescent="0.45">
      <c r="A15" t="s">
        <v>45</v>
      </c>
      <c r="B15" t="s">
        <v>46</v>
      </c>
      <c r="C15" s="2">
        <f>0.547953910556565</f>
        <v>0.54795391055656495</v>
      </c>
      <c r="D15" s="2">
        <f>0.873879108036537</f>
        <v>0.87387910803653701</v>
      </c>
      <c r="E15" s="2">
        <f>0.869865253929667</f>
        <v>0.86986525392966696</v>
      </c>
      <c r="F15" s="2">
        <f>ROUND(Notes!$B$4*D15+Notes!$B$5*C15+Notes!$B$6*E15,4)</f>
        <v>0.73909999999999998</v>
      </c>
      <c r="G15" s="3">
        <f>RANK(F15,F$5:F$42,0)</f>
        <v>10</v>
      </c>
      <c r="H15" s="2">
        <f>C15</f>
        <v>0.54795391055656495</v>
      </c>
      <c r="I15" s="2">
        <f>D15</f>
        <v>0.87387910803653701</v>
      </c>
      <c r="J15" s="2">
        <f>E15</f>
        <v>0.86986525392966696</v>
      </c>
      <c r="K15" s="2">
        <f>ROUND(Notes!$B$4*I15+Notes!$B$5*H15+Notes!$B$6*J15,4)</f>
        <v>0.73909999999999998</v>
      </c>
      <c r="L15" s="3">
        <f>RANK(K15,K$5:K$42,0)</f>
        <v>10</v>
      </c>
    </row>
    <row r="16" spans="1:12" x14ac:dyDescent="0.45">
      <c r="A16" t="s">
        <v>47</v>
      </c>
      <c r="B16" t="s">
        <v>48</v>
      </c>
      <c r="C16" s="2">
        <f>0.547953910556565</f>
        <v>0.54795391055656495</v>
      </c>
      <c r="D16" s="2">
        <f>0.869865253929667</f>
        <v>0.86986525392966696</v>
      </c>
      <c r="E16" s="2">
        <f>0.869865253929667</f>
        <v>0.86986525392966696</v>
      </c>
      <c r="F16" s="2">
        <f>ROUND(Notes!$B$4*D16+Notes!$B$5*C16+Notes!$B$6*E16,4)</f>
        <v>0.73729999999999996</v>
      </c>
      <c r="G16" s="3">
        <f>RANK(F16,F$5:F$42,0)</f>
        <v>11</v>
      </c>
      <c r="H16" s="2">
        <f>C16</f>
        <v>0.54795391055656495</v>
      </c>
      <c r="I16" s="2">
        <f>D16</f>
        <v>0.86986525392966696</v>
      </c>
      <c r="J16" s="2">
        <f>E16</f>
        <v>0.86986525392966696</v>
      </c>
      <c r="K16" s="2">
        <f>ROUND(Notes!$B$4*I16+Notes!$B$5*H16+Notes!$B$6*J16,4)</f>
        <v>0.73729999999999996</v>
      </c>
      <c r="L16" s="3">
        <f>RANK(K16,K$5:K$42,0)</f>
        <v>11</v>
      </c>
    </row>
    <row r="17" spans="1:12" x14ac:dyDescent="0.45">
      <c r="A17" t="s">
        <v>49</v>
      </c>
      <c r="B17" t="s">
        <v>50</v>
      </c>
      <c r="C17" s="2">
        <f>0.543222830616488</f>
        <v>0.54322283061648802</v>
      </c>
      <c r="D17" s="2">
        <f>0.873879108036537</f>
        <v>0.87387910803653701</v>
      </c>
      <c r="E17" s="2">
        <f>0.841318847888109</f>
        <v>0.84131884788810896</v>
      </c>
      <c r="F17" s="2">
        <f>ROUND(Notes!$B$4*D17+Notes!$B$5*C17+Notes!$B$6*E17,4)</f>
        <v>0.7329</v>
      </c>
      <c r="G17" s="3">
        <f>RANK(F17,F$5:F$42,0)</f>
        <v>12</v>
      </c>
      <c r="H17" s="2">
        <f>C17</f>
        <v>0.54322283061648802</v>
      </c>
      <c r="I17" s="2">
        <f>D17</f>
        <v>0.87387910803653701</v>
      </c>
      <c r="J17" s="2">
        <f>E17</f>
        <v>0.84131884788810896</v>
      </c>
      <c r="K17" s="2">
        <f>ROUND(Notes!$B$4*I17+Notes!$B$5*H17+Notes!$B$6*J17,4)</f>
        <v>0.7329</v>
      </c>
      <c r="L17" s="3">
        <f>RANK(K17,K$5:K$42,0)</f>
        <v>12</v>
      </c>
    </row>
    <row r="18" spans="1:12" x14ac:dyDescent="0.45">
      <c r="A18" t="s">
        <v>51</v>
      </c>
      <c r="B18" t="s">
        <v>52</v>
      </c>
      <c r="C18" s="2">
        <f>0.630382676079967</f>
        <v>0.63038267607996701</v>
      </c>
      <c r="D18" s="2">
        <f>0.795219524916135</f>
        <v>0.79521952491613501</v>
      </c>
      <c r="E18" s="2">
        <f>0.795219524916135</f>
        <v>0.79521952491613501</v>
      </c>
      <c r="F18" s="2">
        <f>ROUND(Notes!$B$4*D18+Notes!$B$5*C18+Notes!$B$6*E18,4)</f>
        <v>0.72740000000000005</v>
      </c>
      <c r="G18" s="3">
        <f>RANK(F18,F$5:F$42,0)</f>
        <v>13</v>
      </c>
      <c r="H18" s="2">
        <f>C18</f>
        <v>0.63038267607996701</v>
      </c>
      <c r="I18" s="2">
        <f>D18</f>
        <v>0.79521952491613501</v>
      </c>
      <c r="J18" s="2">
        <f>E18</f>
        <v>0.79521952491613501</v>
      </c>
      <c r="K18" s="2">
        <f>ROUND(Notes!$B$4*I18+Notes!$B$5*H18+Notes!$B$6*J18,4)</f>
        <v>0.72740000000000005</v>
      </c>
      <c r="L18" s="3">
        <f>RANK(K18,K$5:K$42,0)</f>
        <v>13</v>
      </c>
    </row>
    <row r="19" spans="1:12" x14ac:dyDescent="0.45">
      <c r="A19" t="s">
        <v>53</v>
      </c>
      <c r="B19" t="s">
        <v>54</v>
      </c>
      <c r="C19" s="2">
        <f>0.391406012913837</f>
        <v>0.39140601291383698</v>
      </c>
      <c r="D19" s="2">
        <f>1</f>
        <v>1</v>
      </c>
      <c r="E19" s="2">
        <f>0.826923076923077</f>
        <v>0.82692307692307698</v>
      </c>
      <c r="F19" s="2">
        <f>ROUND(Notes!$B$4*D19+Notes!$B$5*C19+Notes!$B$6*E19,4)</f>
        <v>0.72360000000000002</v>
      </c>
      <c r="G19" s="3">
        <f>RANK(F19,F$5:F$42,0)</f>
        <v>14</v>
      </c>
      <c r="H19" s="2">
        <f>C19</f>
        <v>0.39140601291383698</v>
      </c>
      <c r="I19" s="2">
        <f>D19</f>
        <v>1</v>
      </c>
      <c r="J19" s="2">
        <f>E19</f>
        <v>0.82692307692307698</v>
      </c>
      <c r="K19" s="2">
        <f>ROUND(Notes!$B$4*I19+Notes!$B$5*H19+Notes!$B$6*J19,4)</f>
        <v>0.72360000000000002</v>
      </c>
      <c r="L19" s="3">
        <f>RANK(K19,K$5:K$42,0)</f>
        <v>14</v>
      </c>
    </row>
    <row r="20" spans="1:12" x14ac:dyDescent="0.45">
      <c r="A20" t="s">
        <v>55</v>
      </c>
      <c r="B20" t="s">
        <v>56</v>
      </c>
      <c r="C20" s="2">
        <f>0.478865241362287</f>
        <v>0.47886524136228698</v>
      </c>
      <c r="D20" s="2">
        <f>0.901030024355631</f>
        <v>0.90103002435563095</v>
      </c>
      <c r="E20" s="2">
        <f>0.835370889649727</f>
        <v>0.83537088964972706</v>
      </c>
      <c r="F20" s="2">
        <f>ROUND(Notes!$B$4*D20+Notes!$B$5*C20+Notes!$B$6*E20,4)</f>
        <v>0.71740000000000004</v>
      </c>
      <c r="G20" s="3">
        <f>RANK(F20,F$5:F$42,0)</f>
        <v>15</v>
      </c>
      <c r="H20" s="2">
        <f>C20</f>
        <v>0.47886524136228698</v>
      </c>
      <c r="I20" s="2">
        <f>D20</f>
        <v>0.90103002435563095</v>
      </c>
      <c r="J20" s="2">
        <f>E20</f>
        <v>0.83537088964972706</v>
      </c>
      <c r="K20" s="2">
        <f>ROUND(Notes!$B$4*I20+Notes!$B$5*H20+Notes!$B$6*J20,4)</f>
        <v>0.71740000000000004</v>
      </c>
      <c r="L20" s="3">
        <f>RANK(K20,K$5:K$42,0)</f>
        <v>15</v>
      </c>
    </row>
    <row r="21" spans="1:12" x14ac:dyDescent="0.45">
      <c r="A21" t="s">
        <v>57</v>
      </c>
      <c r="B21" t="s">
        <v>58</v>
      </c>
      <c r="C21" s="2">
        <f>0.479318672008477</f>
        <v>0.479318672008477</v>
      </c>
      <c r="D21" s="2">
        <f>0.873417350634541</f>
        <v>0.87341735063454096</v>
      </c>
      <c r="E21" s="2">
        <f>0.869865253929667</f>
        <v>0.86986525392966696</v>
      </c>
      <c r="F21" s="2">
        <f>ROUND(Notes!$B$4*D21+Notes!$B$5*C21+Notes!$B$6*E21,4)</f>
        <v>0.7107</v>
      </c>
      <c r="G21" s="3">
        <f>RANK(F21,F$5:F$42,0)</f>
        <v>16</v>
      </c>
      <c r="H21" s="2">
        <f>C21</f>
        <v>0.479318672008477</v>
      </c>
      <c r="I21" s="2">
        <f>D21</f>
        <v>0.87341735063454096</v>
      </c>
      <c r="J21" s="2">
        <f>E21</f>
        <v>0.86986525392966696</v>
      </c>
      <c r="K21" s="2">
        <f>ROUND(Notes!$B$4*I21+Notes!$B$5*H21+Notes!$B$6*J21,4)</f>
        <v>0.7107</v>
      </c>
      <c r="L21" s="3">
        <f>RANK(K21,K$5:K$42,0)</f>
        <v>16</v>
      </c>
    </row>
    <row r="22" spans="1:12" x14ac:dyDescent="0.45">
      <c r="A22" t="s">
        <v>59</v>
      </c>
      <c r="B22" t="s">
        <v>60</v>
      </c>
      <c r="C22" s="2">
        <f>0.479318672008477</f>
        <v>0.479318672008477</v>
      </c>
      <c r="D22" s="2">
        <f>0.86</f>
        <v>0.86</v>
      </c>
      <c r="E22" s="2">
        <f>0.86</f>
        <v>0.86</v>
      </c>
      <c r="F22" s="2">
        <f>ROUND(Notes!$B$4*D22+Notes!$B$5*C22+Notes!$B$6*E22,4)</f>
        <v>0.70330000000000004</v>
      </c>
      <c r="G22" s="3">
        <f>RANK(F22,F$5:F$42,0)</f>
        <v>17</v>
      </c>
      <c r="H22" s="2">
        <f>C22</f>
        <v>0.479318672008477</v>
      </c>
      <c r="I22" s="2">
        <f>D22</f>
        <v>0.86</v>
      </c>
      <c r="J22" s="2">
        <f>E22</f>
        <v>0.86</v>
      </c>
      <c r="K22" s="2">
        <f>ROUND(Notes!$B$4*I22+Notes!$B$5*H22+Notes!$B$6*J22,4)</f>
        <v>0.70330000000000004</v>
      </c>
      <c r="L22" s="3">
        <f>RANK(K22,K$5:K$42,0)</f>
        <v>17</v>
      </c>
    </row>
    <row r="23" spans="1:12" x14ac:dyDescent="0.45">
      <c r="A23" t="s">
        <v>61</v>
      </c>
      <c r="B23" t="s">
        <v>62</v>
      </c>
      <c r="C23" s="2">
        <f>0.547953910556565</f>
        <v>0.54795391055656495</v>
      </c>
      <c r="D23" s="2">
        <f>0.888411247396436</f>
        <v>0.88841124739643595</v>
      </c>
      <c r="E23" s="2">
        <f>0.547953910556565</f>
        <v>0.54795391055656495</v>
      </c>
      <c r="F23" s="2">
        <f>ROUND(Notes!$B$4*D23+Notes!$B$5*C23+Notes!$B$6*E23,4)</f>
        <v>0.69750000000000001</v>
      </c>
      <c r="G23" s="3">
        <f>RANK(F23,F$5:F$42,0)</f>
        <v>18</v>
      </c>
      <c r="H23" s="2">
        <f>C23</f>
        <v>0.54795391055656495</v>
      </c>
      <c r="I23" s="2">
        <f>D23</f>
        <v>0.88841124739643595</v>
      </c>
      <c r="J23" s="2">
        <f>E23</f>
        <v>0.54795391055656495</v>
      </c>
      <c r="K23" s="2">
        <f>ROUND(Notes!$B$4*I23+Notes!$B$5*H23+Notes!$B$6*J23,4)</f>
        <v>0.69750000000000001</v>
      </c>
      <c r="L23" s="3">
        <f>RANK(K23,K$5:K$42,0)</f>
        <v>18</v>
      </c>
    </row>
    <row r="24" spans="1:12" x14ac:dyDescent="0.45">
      <c r="A24" t="s">
        <v>63</v>
      </c>
      <c r="B24" t="s">
        <v>64</v>
      </c>
      <c r="C24" s="2">
        <f>0.518965517241379</f>
        <v>0.51896551724137896</v>
      </c>
      <c r="D24" s="2">
        <f>0.826923076923077</f>
        <v>0.82692307692307698</v>
      </c>
      <c r="E24" s="2">
        <f>0.737888702767901</f>
        <v>0.73788870276790097</v>
      </c>
      <c r="F24" s="2">
        <f>ROUND(Notes!$B$4*D24+Notes!$B$5*C24+Notes!$B$6*E24,4)</f>
        <v>0.68689999999999996</v>
      </c>
      <c r="G24" s="3">
        <f>RANK(F24,F$5:F$42,0)</f>
        <v>19</v>
      </c>
      <c r="H24" s="2">
        <f>C24</f>
        <v>0.51896551724137896</v>
      </c>
      <c r="I24" s="2">
        <f>D24</f>
        <v>0.82692307692307698</v>
      </c>
      <c r="J24" s="2">
        <f>E24</f>
        <v>0.73788870276790097</v>
      </c>
      <c r="K24" s="2">
        <f>ROUND(Notes!$B$4*I24+Notes!$B$5*H24+Notes!$B$6*J24,4)</f>
        <v>0.68689999999999996</v>
      </c>
      <c r="L24" s="3">
        <f>RANK(K24,K$5:K$42,0)</f>
        <v>19</v>
      </c>
    </row>
    <row r="25" spans="1:12" x14ac:dyDescent="0.45">
      <c r="A25" t="s">
        <v>65</v>
      </c>
      <c r="B25" t="s">
        <v>66</v>
      </c>
      <c r="C25" s="2">
        <f>0.391406012913837</f>
        <v>0.39140601291383698</v>
      </c>
      <c r="D25" s="2">
        <f>0.737888702767901</f>
        <v>0.73788870276790097</v>
      </c>
      <c r="E25" s="2">
        <f>0.869865253929667</f>
        <v>0.86986525392966696</v>
      </c>
      <c r="F25" s="2">
        <f>ROUND(Notes!$B$4*D25+Notes!$B$5*C25+Notes!$B$6*E25,4)</f>
        <v>0.6149</v>
      </c>
      <c r="G25" s="3">
        <f>RANK(F25,F$5:F$42,0)</f>
        <v>29</v>
      </c>
      <c r="H25" s="2">
        <f>C25</f>
        <v>0.39140601291383698</v>
      </c>
      <c r="I25" s="2">
        <f>D25</f>
        <v>0.73788870276790097</v>
      </c>
      <c r="J25" s="2">
        <f>E25</f>
        <v>0.86986525392966696</v>
      </c>
      <c r="K25" s="2">
        <f>ROUND(Notes!$B$4*I25+Notes!$B$5*H25+Notes!$B$6*J25,4)</f>
        <v>0.6149</v>
      </c>
      <c r="L25" s="3">
        <f>RANK(K25,K$5:K$42,0)</f>
        <v>29</v>
      </c>
    </row>
    <row r="26" spans="1:12" x14ac:dyDescent="0.45">
      <c r="A26" t="s">
        <v>67</v>
      </c>
      <c r="B26" t="s">
        <v>68</v>
      </c>
      <c r="C26" s="2">
        <f>0.408845614108812</f>
        <v>0.40884561410881198</v>
      </c>
      <c r="D26" s="2">
        <f>0.884365027341364</f>
        <v>0.88436502734136402</v>
      </c>
      <c r="E26" s="2">
        <f>0.737888702767901</f>
        <v>0.73788870276790097</v>
      </c>
      <c r="F26" s="2">
        <f>ROUND(Notes!$B$4*D26+Notes!$B$5*C26+Notes!$B$6*E26,4)</f>
        <v>0.66679999999999995</v>
      </c>
      <c r="G26" s="3">
        <f>RANK(F26,F$5:F$42,0)</f>
        <v>21</v>
      </c>
      <c r="H26" s="2">
        <f>C26</f>
        <v>0.40884561410881198</v>
      </c>
      <c r="I26" s="2">
        <f>D26</f>
        <v>0.88436502734136402</v>
      </c>
      <c r="J26" s="2">
        <f>E26</f>
        <v>0.73788870276790097</v>
      </c>
      <c r="K26" s="2">
        <f>ROUND(Notes!$B$4*I26+Notes!$B$5*H26+Notes!$B$6*J26,4)</f>
        <v>0.66679999999999995</v>
      </c>
      <c r="L26" s="3">
        <f>RANK(K26,K$5:K$42,0)</f>
        <v>21</v>
      </c>
    </row>
    <row r="27" spans="1:12" x14ac:dyDescent="0.45">
      <c r="A27" t="s">
        <v>69</v>
      </c>
      <c r="B27" t="s">
        <v>70</v>
      </c>
      <c r="C27" s="2">
        <f>0.431068736527055</f>
        <v>0.43106873652705502</v>
      </c>
      <c r="D27" s="2">
        <f>0.864149148541634</f>
        <v>0.86414914854163405</v>
      </c>
      <c r="E27" s="2">
        <f>0.69441435606903</f>
        <v>0.69441435606903001</v>
      </c>
      <c r="F27" s="2">
        <f>ROUND(Notes!$B$4*D27+Notes!$B$5*C27+Notes!$B$6*E27,4)</f>
        <v>0.66049999999999998</v>
      </c>
      <c r="G27" s="3">
        <f>RANK(F27,F$5:F$42,0)</f>
        <v>22</v>
      </c>
      <c r="H27" s="2">
        <f>C27</f>
        <v>0.43106873652705502</v>
      </c>
      <c r="I27" s="2">
        <f>D27</f>
        <v>0.86414914854163405</v>
      </c>
      <c r="J27" s="2">
        <f>E27</f>
        <v>0.69441435606903001</v>
      </c>
      <c r="K27" s="2">
        <f>ROUND(Notes!$B$4*I27+Notes!$B$5*H27+Notes!$B$6*J27,4)</f>
        <v>0.66049999999999998</v>
      </c>
      <c r="L27" s="3">
        <f>RANK(K27,K$5:K$42,0)</f>
        <v>22</v>
      </c>
    </row>
    <row r="28" spans="1:12" x14ac:dyDescent="0.45">
      <c r="A28" t="s">
        <v>71</v>
      </c>
      <c r="B28" t="s">
        <v>72</v>
      </c>
      <c r="C28" s="2">
        <f>0.391406012913837</f>
        <v>0.39140601291383698</v>
      </c>
      <c r="D28" s="2">
        <f>0.869865253929667</f>
        <v>0.86986525392966696</v>
      </c>
      <c r="E28" s="2">
        <f>0.737888702767901</f>
        <v>0.73788870276790097</v>
      </c>
      <c r="F28" s="2">
        <f>ROUND(Notes!$B$4*D28+Notes!$B$5*C28+Notes!$B$6*E28,4)</f>
        <v>0.6532</v>
      </c>
      <c r="G28" s="3">
        <f>RANK(F28,F$5:F$42,0)</f>
        <v>23</v>
      </c>
      <c r="H28" s="2">
        <f>C28</f>
        <v>0.39140601291383698</v>
      </c>
      <c r="I28" s="2">
        <f>D28</f>
        <v>0.86986525392966696</v>
      </c>
      <c r="J28" s="2">
        <f>E28</f>
        <v>0.73788870276790097</v>
      </c>
      <c r="K28" s="2">
        <f>ROUND(Notes!$B$4*I28+Notes!$B$5*H28+Notes!$B$6*J28,4)</f>
        <v>0.6532</v>
      </c>
      <c r="L28" s="3">
        <f>RANK(K28,K$5:K$42,0)</f>
        <v>23</v>
      </c>
    </row>
    <row r="29" spans="1:12" x14ac:dyDescent="0.45">
      <c r="A29" t="s">
        <v>73</v>
      </c>
      <c r="B29" t="s">
        <v>74</v>
      </c>
      <c r="C29" s="2">
        <f>0.479318672008477</f>
        <v>0.479318672008477</v>
      </c>
      <c r="D29" s="2">
        <f>0.851484971473245</f>
        <v>0.85148497147324498</v>
      </c>
      <c r="E29" s="2">
        <f>0.547953910556565</f>
        <v>0.54795391055656495</v>
      </c>
      <c r="F29" s="2">
        <f>ROUND(Notes!$B$4*D29+Notes!$B$5*C29+Notes!$B$6*E29,4)</f>
        <v>0.65300000000000002</v>
      </c>
      <c r="G29" s="3">
        <f>RANK(F29,F$5:F$42,0)</f>
        <v>24</v>
      </c>
      <c r="H29" s="2">
        <f>C29</f>
        <v>0.479318672008477</v>
      </c>
      <c r="I29" s="2">
        <f>D29</f>
        <v>0.85148497147324498</v>
      </c>
      <c r="J29" s="2">
        <f>E29</f>
        <v>0.54795391055656495</v>
      </c>
      <c r="K29" s="2">
        <f>ROUND(Notes!$B$4*I29+Notes!$B$5*H29+Notes!$B$6*J29,4)</f>
        <v>0.65300000000000002</v>
      </c>
      <c r="L29" s="3">
        <f>RANK(K29,K$5:K$42,0)</f>
        <v>24</v>
      </c>
    </row>
    <row r="30" spans="1:12" x14ac:dyDescent="0.45">
      <c r="A30" t="s">
        <v>75</v>
      </c>
      <c r="B30" t="s">
        <v>76</v>
      </c>
      <c r="C30" s="2">
        <f>0.391406012913837</f>
        <v>0.39140601291383698</v>
      </c>
      <c r="D30" s="2">
        <f>0.826923076923077</f>
        <v>0.82692307692307698</v>
      </c>
      <c r="E30" s="2">
        <f>0.81340644290143</f>
        <v>0.81340644290143005</v>
      </c>
      <c r="F30" s="2">
        <f>ROUND(Notes!$B$4*D30+Notes!$B$5*C30+Notes!$B$6*E30,4)</f>
        <v>0.64559999999999995</v>
      </c>
      <c r="G30" s="3">
        <f>RANK(F30,F$5:F$42,0)</f>
        <v>25</v>
      </c>
      <c r="H30" s="2">
        <f>C30</f>
        <v>0.39140601291383698</v>
      </c>
      <c r="I30" s="2">
        <f>D30</f>
        <v>0.82692307692307698</v>
      </c>
      <c r="J30" s="2">
        <f>E30</f>
        <v>0.81340644290143005</v>
      </c>
      <c r="K30" s="2">
        <f>ROUND(Notes!$B$4*I30+Notes!$B$5*H30+Notes!$B$6*J30,4)</f>
        <v>0.64559999999999995</v>
      </c>
      <c r="L30" s="3">
        <f>RANK(K30,K$5:K$42,0)</f>
        <v>25</v>
      </c>
    </row>
    <row r="31" spans="1:12" x14ac:dyDescent="0.45">
      <c r="A31" t="s">
        <v>77</v>
      </c>
      <c r="B31" t="s">
        <v>78</v>
      </c>
      <c r="C31" s="2">
        <f>0.479318672008477</f>
        <v>0.479318672008477</v>
      </c>
      <c r="D31" s="2">
        <f>0.787075165170195</f>
        <v>0.78707516517019505</v>
      </c>
      <c r="E31" s="2">
        <f>0.646263719038607</f>
        <v>0.64626371903860702</v>
      </c>
      <c r="F31" s="2">
        <f>ROUND(Notes!$B$4*D31+Notes!$B$5*C31+Notes!$B$6*E31,4)</f>
        <v>0.63939999999999997</v>
      </c>
      <c r="G31" s="3">
        <f>RANK(F31,F$5:F$42,0)</f>
        <v>26</v>
      </c>
      <c r="H31" s="2">
        <f>C31</f>
        <v>0.479318672008477</v>
      </c>
      <c r="I31" s="2">
        <f>D31</f>
        <v>0.78707516517019505</v>
      </c>
      <c r="J31" s="2">
        <f>E31</f>
        <v>0.64626371903860702</v>
      </c>
      <c r="K31" s="2">
        <f>ROUND(Notes!$B$4*I31+Notes!$B$5*H31+Notes!$B$6*J31,4)</f>
        <v>0.63939999999999997</v>
      </c>
      <c r="L31" s="3">
        <f>RANK(K31,K$5:K$42,0)</f>
        <v>26</v>
      </c>
    </row>
    <row r="32" spans="1:12" x14ac:dyDescent="0.45">
      <c r="A32" t="s">
        <v>79</v>
      </c>
      <c r="B32" t="s">
        <v>80</v>
      </c>
      <c r="C32" s="2">
        <f>0.479318672008477</f>
        <v>0.479318672008477</v>
      </c>
      <c r="D32" s="2">
        <f>0.737888702767901</f>
        <v>0.73788870276790097</v>
      </c>
      <c r="E32" s="2">
        <f>0.737888702767901</f>
        <v>0.73788870276790097</v>
      </c>
      <c r="F32" s="2">
        <f>ROUND(Notes!$B$4*D32+Notes!$B$5*C32+Notes!$B$6*E32,4)</f>
        <v>0.63139999999999996</v>
      </c>
      <c r="G32" s="3">
        <f>RANK(F32,F$5:F$42,0)</f>
        <v>27</v>
      </c>
      <c r="H32" s="2">
        <f>C32</f>
        <v>0.479318672008477</v>
      </c>
      <c r="I32" s="2">
        <f>D32</f>
        <v>0.73788870276790097</v>
      </c>
      <c r="J32" s="2">
        <f>E32</f>
        <v>0.73788870276790097</v>
      </c>
      <c r="K32" s="2">
        <f>ROUND(Notes!$B$4*I32+Notes!$B$5*H32+Notes!$B$6*J32,4)</f>
        <v>0.63139999999999996</v>
      </c>
      <c r="L32" s="3">
        <f>RANK(K32,K$5:K$42,0)</f>
        <v>27</v>
      </c>
    </row>
    <row r="33" spans="1:12" x14ac:dyDescent="0.45">
      <c r="A33" t="s">
        <v>81</v>
      </c>
      <c r="B33" t="s">
        <v>82</v>
      </c>
      <c r="C33" s="2">
        <f>0.338474732816403</f>
        <v>0.338474732816403</v>
      </c>
      <c r="D33" s="2">
        <f>0.813463195231154</f>
        <v>0.81346319523115396</v>
      </c>
      <c r="E33" s="2">
        <f>0.869865253929667</f>
        <v>0.86986525392966696</v>
      </c>
      <c r="F33" s="2">
        <f>ROUND(Notes!$B$4*D33+Notes!$B$5*C33+Notes!$B$6*E33,4)</f>
        <v>0.62629999999999997</v>
      </c>
      <c r="G33" s="3">
        <f>RANK(F33,F$5:F$42,0)</f>
        <v>28</v>
      </c>
      <c r="H33" s="2">
        <f>C33</f>
        <v>0.338474732816403</v>
      </c>
      <c r="I33" s="2">
        <f>D33</f>
        <v>0.81346319523115396</v>
      </c>
      <c r="J33" s="2">
        <f>E33</f>
        <v>0.86986525392966696</v>
      </c>
      <c r="K33" s="2">
        <f>ROUND(Notes!$B$4*I33+Notes!$B$5*H33+Notes!$B$6*J33,4)</f>
        <v>0.62629999999999997</v>
      </c>
      <c r="L33" s="3">
        <f>RANK(K33,K$5:K$42,0)</f>
        <v>28</v>
      </c>
    </row>
    <row r="34" spans="1:12" x14ac:dyDescent="0.45">
      <c r="A34" t="s">
        <v>83</v>
      </c>
      <c r="B34" t="s">
        <v>84</v>
      </c>
      <c r="C34" s="2">
        <f>0.391406012913837</f>
        <v>0.39140601291383698</v>
      </c>
      <c r="D34" s="2">
        <f>0.778563038959402</f>
        <v>0.77856303895940204</v>
      </c>
      <c r="E34" s="2">
        <f>0.737888702767901</f>
        <v>0.73788870276790097</v>
      </c>
      <c r="F34" s="2">
        <f>ROUND(Notes!$B$4*D34+Notes!$B$5*C34+Notes!$B$6*E34,4)</f>
        <v>0.61309999999999998</v>
      </c>
      <c r="G34" s="3">
        <f>RANK(F34,F$5:F$42,0)</f>
        <v>30</v>
      </c>
      <c r="H34" s="2">
        <f>C34</f>
        <v>0.39140601291383698</v>
      </c>
      <c r="I34" s="2">
        <f>D34</f>
        <v>0.77856303895940204</v>
      </c>
      <c r="J34" s="2">
        <f>E34</f>
        <v>0.73788870276790097</v>
      </c>
      <c r="K34" s="2">
        <f>ROUND(Notes!$B$4*I34+Notes!$B$5*H34+Notes!$B$6*J34,4)</f>
        <v>0.61309999999999998</v>
      </c>
      <c r="L34" s="3">
        <f>RANK(K34,K$5:K$42,0)</f>
        <v>30</v>
      </c>
    </row>
    <row r="35" spans="1:12" x14ac:dyDescent="0.45">
      <c r="A35" t="s">
        <v>85</v>
      </c>
      <c r="B35" t="s">
        <v>86</v>
      </c>
      <c r="C35" s="2">
        <f>0.278958448750364</f>
        <v>0.27895844875036402</v>
      </c>
      <c r="D35" s="2">
        <f>0.859028659709284</f>
        <v>0.85902865970928399</v>
      </c>
      <c r="E35" s="2">
        <f>0.787075165170195</f>
        <v>0.78707516517019505</v>
      </c>
      <c r="F35" s="2">
        <f>ROUND(Notes!$B$4*D35+Notes!$B$5*C35+Notes!$B$6*E35,4)</f>
        <v>0.60950000000000004</v>
      </c>
      <c r="G35" s="3">
        <f>RANK(F35,F$5:F$42,0)</f>
        <v>31</v>
      </c>
      <c r="H35" s="2">
        <f>C35</f>
        <v>0.27895844875036402</v>
      </c>
      <c r="I35" s="2">
        <f>D35</f>
        <v>0.85902865970928399</v>
      </c>
      <c r="J35" s="2">
        <f>E35</f>
        <v>0.78707516517019505</v>
      </c>
      <c r="K35" s="2">
        <f>ROUND(Notes!$B$4*I35+Notes!$B$5*H35+Notes!$B$6*J35,4)</f>
        <v>0.60950000000000004</v>
      </c>
      <c r="L35" s="3">
        <f>RANK(K35,K$5:K$42,0)</f>
        <v>31</v>
      </c>
    </row>
    <row r="36" spans="1:12" x14ac:dyDescent="0.45">
      <c r="A36" t="s">
        <v>87</v>
      </c>
      <c r="B36" t="s">
        <v>88</v>
      </c>
      <c r="C36" s="2">
        <f>0.373913043478261</f>
        <v>0.37391304347826099</v>
      </c>
      <c r="D36" s="2">
        <f>0.781818181818182</f>
        <v>0.78181818181818197</v>
      </c>
      <c r="E36" s="2">
        <f>0.737888702767901</f>
        <v>0.73788870276790097</v>
      </c>
      <c r="F36" s="2">
        <f>ROUND(Notes!$B$4*D36+Notes!$B$5*C36+Notes!$B$6*E36,4)</f>
        <v>0.60729999999999995</v>
      </c>
      <c r="G36" s="3">
        <f>RANK(F36,F$5:F$42,0)</f>
        <v>32</v>
      </c>
      <c r="H36" s="2">
        <f>C36</f>
        <v>0.37391304347826099</v>
      </c>
      <c r="I36" s="2">
        <f>D36</f>
        <v>0.78181818181818197</v>
      </c>
      <c r="J36" s="2">
        <f>E36</f>
        <v>0.73788870276790097</v>
      </c>
      <c r="K36" s="2">
        <f>ROUND(Notes!$B$4*I36+Notes!$B$5*H36+Notes!$B$6*J36,4)</f>
        <v>0.60729999999999995</v>
      </c>
      <c r="L36" s="3">
        <f>RANK(K36,K$5:K$42,0)</f>
        <v>32</v>
      </c>
    </row>
    <row r="37" spans="1:12" x14ac:dyDescent="0.45">
      <c r="A37" t="s">
        <v>89</v>
      </c>
      <c r="B37" t="s">
        <v>90</v>
      </c>
      <c r="C37" s="2">
        <f>0.338474732816403</f>
        <v>0.338474732816403</v>
      </c>
      <c r="D37" s="2">
        <f>0.737888702767901</f>
        <v>0.73788870276790097</v>
      </c>
      <c r="E37" s="2">
        <f>0.869865253929667</f>
        <v>0.86986525392966696</v>
      </c>
      <c r="F37" s="2">
        <f>ROUND(Notes!$B$4*D37+Notes!$B$5*C37+Notes!$B$6*E37,4)</f>
        <v>0.59319999999999995</v>
      </c>
      <c r="G37" s="3">
        <f>RANK(F37,F$5:F$42,0)</f>
        <v>33</v>
      </c>
      <c r="H37" s="2">
        <f>C37</f>
        <v>0.338474732816403</v>
      </c>
      <c r="I37" s="2">
        <f>D37</f>
        <v>0.73788870276790097</v>
      </c>
      <c r="J37" s="2">
        <f>E37</f>
        <v>0.86986525392966696</v>
      </c>
      <c r="K37" s="2">
        <f>ROUND(Notes!$B$4*I37+Notes!$B$5*H37+Notes!$B$6*J37,4)</f>
        <v>0.59319999999999995</v>
      </c>
      <c r="L37" s="3">
        <f>RANK(K37,K$5:K$42,0)</f>
        <v>33</v>
      </c>
    </row>
    <row r="38" spans="1:12" x14ac:dyDescent="0.45">
      <c r="A38" t="s">
        <v>91</v>
      </c>
      <c r="B38" t="s">
        <v>92</v>
      </c>
      <c r="C38" s="2">
        <f>0.278958448750364</f>
        <v>0.27895844875036402</v>
      </c>
      <c r="D38" s="2">
        <f>0.822456690745778</f>
        <v>0.82245669074577799</v>
      </c>
      <c r="E38" s="2">
        <f>0.737888702767901</f>
        <v>0.73788870276790097</v>
      </c>
      <c r="F38" s="2">
        <f>ROUND(Notes!$B$4*D38+Notes!$B$5*C38+Notes!$B$6*E38,4)</f>
        <v>0.58609999999999995</v>
      </c>
      <c r="G38" s="3">
        <f>RANK(F38,F$5:F$42,0)</f>
        <v>34</v>
      </c>
      <c r="H38" s="2">
        <f>C38</f>
        <v>0.27895844875036402</v>
      </c>
      <c r="I38" s="2">
        <f>D38</f>
        <v>0.82245669074577799</v>
      </c>
      <c r="J38" s="2">
        <f>E38</f>
        <v>0.73788870276790097</v>
      </c>
      <c r="K38" s="2">
        <f>ROUND(Notes!$B$4*I38+Notes!$B$5*H38+Notes!$B$6*J38,4)</f>
        <v>0.58609999999999995</v>
      </c>
      <c r="L38" s="3">
        <f>RANK(K38,K$5:K$42,0)</f>
        <v>34</v>
      </c>
    </row>
    <row r="39" spans="1:12" x14ac:dyDescent="0.45">
      <c r="A39" t="s">
        <v>93</v>
      </c>
      <c r="B39" t="s">
        <v>94</v>
      </c>
      <c r="C39" s="2">
        <f>0.278958448750364</f>
        <v>0.27895844875036402</v>
      </c>
      <c r="D39" s="2">
        <f>0.816200383417959</f>
        <v>0.81620038341795897</v>
      </c>
      <c r="E39" s="2">
        <f>0.737888702767901</f>
        <v>0.73788870276790097</v>
      </c>
      <c r="F39" s="2">
        <f>ROUND(Notes!$B$4*D39+Notes!$B$5*C39+Notes!$B$6*E39,4)</f>
        <v>0.58340000000000003</v>
      </c>
      <c r="G39" s="3">
        <f>RANK(F39,F$5:F$42,0)</f>
        <v>35</v>
      </c>
      <c r="H39" s="2">
        <f>C39</f>
        <v>0.27895844875036402</v>
      </c>
      <c r="I39" s="2">
        <f>D39</f>
        <v>0.81620038341795897</v>
      </c>
      <c r="J39" s="2">
        <f>E39</f>
        <v>0.73788870276790097</v>
      </c>
      <c r="K39" s="2">
        <f>ROUND(Notes!$B$4*I39+Notes!$B$5*H39+Notes!$B$6*J39,4)</f>
        <v>0.58340000000000003</v>
      </c>
      <c r="L39" s="3">
        <f>RANK(K39,K$5:K$42,0)</f>
        <v>35</v>
      </c>
    </row>
    <row r="40" spans="1:12" x14ac:dyDescent="0.45">
      <c r="A40" t="s">
        <v>95</v>
      </c>
      <c r="B40" t="s">
        <v>96</v>
      </c>
      <c r="C40" s="2">
        <f>0.305956530933891</f>
        <v>0.30595653093389102</v>
      </c>
      <c r="D40" s="2">
        <f>0.737888702767901</f>
        <v>0.73788870276790097</v>
      </c>
      <c r="E40" s="2">
        <f>0.869865253929667</f>
        <v>0.86986525392966696</v>
      </c>
      <c r="F40" s="2">
        <f>ROUND(Notes!$B$4*D40+Notes!$B$5*C40+Notes!$B$6*E40,4)</f>
        <v>0.57979999999999998</v>
      </c>
      <c r="G40" s="3">
        <f>RANK(F40,F$5:F$42,0)</f>
        <v>36</v>
      </c>
      <c r="H40" s="2">
        <f>C40</f>
        <v>0.30595653093389102</v>
      </c>
      <c r="I40" s="2">
        <f>D40</f>
        <v>0.73788870276790097</v>
      </c>
      <c r="J40" s="2">
        <f>E40</f>
        <v>0.86986525392966696</v>
      </c>
      <c r="K40" s="2">
        <f>ROUND(Notes!$B$4*I40+Notes!$B$5*H40+Notes!$B$6*J40,4)</f>
        <v>0.57979999999999998</v>
      </c>
      <c r="L40" s="3">
        <f>RANK(K40,K$5:K$42,0)</f>
        <v>36</v>
      </c>
    </row>
    <row r="41" spans="1:12" x14ac:dyDescent="0.45">
      <c r="A41" t="s">
        <v>97</v>
      </c>
      <c r="B41" t="s">
        <v>98</v>
      </c>
      <c r="C41" s="2">
        <f>0.2</f>
        <v>0.2</v>
      </c>
      <c r="D41" s="2">
        <f>0.74468085106383</f>
        <v>0.74468085106382997</v>
      </c>
      <c r="E41" s="2">
        <f>0.547953910556565</f>
        <v>0.54795391055656495</v>
      </c>
      <c r="F41" s="2">
        <f>ROUND(Notes!$B$4*D41+Notes!$B$5*C41+Notes!$B$6*E41,4)</f>
        <v>0.49109999999999998</v>
      </c>
      <c r="G41" s="3">
        <f>RANK(F41,F$5:F$42,0)</f>
        <v>37</v>
      </c>
      <c r="H41" s="2">
        <f>C41</f>
        <v>0.2</v>
      </c>
      <c r="I41" s="2">
        <f>D41</f>
        <v>0.74468085106382997</v>
      </c>
      <c r="J41" s="2">
        <f>E41</f>
        <v>0.54795391055656495</v>
      </c>
      <c r="K41" s="2">
        <f>ROUND(Notes!$B$4*I41+Notes!$B$5*H41+Notes!$B$6*J41,4)</f>
        <v>0.49109999999999998</v>
      </c>
      <c r="L41" s="3">
        <f>RANK(K41,K$5:K$42,0)</f>
        <v>37</v>
      </c>
    </row>
    <row r="42" spans="1:12" x14ac:dyDescent="0.45">
      <c r="A42" t="s">
        <v>99</v>
      </c>
      <c r="B42" t="s">
        <v>100</v>
      </c>
      <c r="C42" s="2">
        <f>0.42321653857669</f>
        <v>0.42321653857669</v>
      </c>
      <c r="D42" s="2">
        <f>0.705977756078566</f>
        <v>0.70597775607856605</v>
      </c>
      <c r="E42" s="2">
        <f>0</f>
        <v>0</v>
      </c>
      <c r="F42" s="2">
        <f>ROUND(Notes!$B$4*D42+Notes!$B$5*C42+Notes!$B$6*E42,4)</f>
        <v>0.48420000000000002</v>
      </c>
      <c r="G42" s="3">
        <f>RANK(F42,F$5:F$42,0)</f>
        <v>38</v>
      </c>
      <c r="H42" s="2">
        <f>C42</f>
        <v>0.42321653857669</v>
      </c>
      <c r="I42" s="2">
        <f>D42</f>
        <v>0.70597775607856605</v>
      </c>
      <c r="J42" s="2">
        <f>E42</f>
        <v>0</v>
      </c>
      <c r="K42" s="2">
        <f>ROUND(Notes!$B$4*I42+Notes!$B$5*H42+Notes!$B$6*J42,4)</f>
        <v>0.48420000000000002</v>
      </c>
      <c r="L42" s="3">
        <f>RANK(K42,K$5:K$42,0)</f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DE4C3-D1D0-447D-AA0D-C0676696CEDA}">
  <dimension ref="A1:L42"/>
  <sheetViews>
    <sheetView workbookViewId="0"/>
  </sheetViews>
  <sheetFormatPr defaultRowHeight="14.25" x14ac:dyDescent="0.45"/>
  <cols>
    <col min="1" max="1" width="20.59765625" customWidth="1"/>
    <col min="3" max="12" width="13.59765625" customWidth="1"/>
  </cols>
  <sheetData>
    <row r="1" spans="1:12" x14ac:dyDescent="0.45">
      <c r="A1" s="1" t="s">
        <v>104</v>
      </c>
    </row>
    <row r="2" spans="1:12" x14ac:dyDescent="0.45">
      <c r="A2" t="s">
        <v>12</v>
      </c>
    </row>
    <row r="4" spans="1:12" x14ac:dyDescent="0.45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</row>
    <row r="5" spans="1:12" x14ac:dyDescent="0.45">
      <c r="A5" t="s">
        <v>25</v>
      </c>
      <c r="B5" t="s">
        <v>26</v>
      </c>
      <c r="C5" s="2">
        <f>1</f>
        <v>1</v>
      </c>
      <c r="D5" s="2">
        <f>1</f>
        <v>1</v>
      </c>
      <c r="E5" s="2">
        <f>1</f>
        <v>1</v>
      </c>
      <c r="F5" s="2">
        <f>ROUND(Notes!$B$4*D5+Notes!$B$5*C5+Notes!$B$6*E5,4)</f>
        <v>1</v>
      </c>
      <c r="G5" s="3">
        <f>RANK(F5,F$5:F$42,0)</f>
        <v>1</v>
      </c>
      <c r="H5" s="2">
        <f>C5</f>
        <v>1</v>
      </c>
      <c r="I5" s="2">
        <f>D5</f>
        <v>1</v>
      </c>
      <c r="J5" s="2">
        <f>E5</f>
        <v>1</v>
      </c>
      <c r="K5" s="2">
        <f>ROUND(Notes!$B$4*I5+Notes!$B$5*H5+Notes!$B$6*J5,4)</f>
        <v>1</v>
      </c>
      <c r="L5" s="3">
        <f>RANK(K5,K$5:K$42,0)</f>
        <v>1</v>
      </c>
    </row>
    <row r="6" spans="1:12" x14ac:dyDescent="0.45">
      <c r="A6" t="s">
        <v>27</v>
      </c>
      <c r="B6" t="s">
        <v>28</v>
      </c>
      <c r="C6" s="2">
        <f>1</f>
        <v>1</v>
      </c>
      <c r="D6" s="2">
        <f>1</f>
        <v>1</v>
      </c>
      <c r="E6" s="2">
        <f>1</f>
        <v>1</v>
      </c>
      <c r="F6" s="2">
        <f>ROUND(Notes!$B$4*D6+Notes!$B$5*C6+Notes!$B$6*E6,4)</f>
        <v>1</v>
      </c>
      <c r="G6" s="3">
        <f>RANK(F6,F$5:F$42,0)</f>
        <v>1</v>
      </c>
      <c r="H6" s="2">
        <f>C6</f>
        <v>1</v>
      </c>
      <c r="I6" s="2">
        <f>D6</f>
        <v>1</v>
      </c>
      <c r="J6" s="2">
        <f>E6</f>
        <v>1</v>
      </c>
      <c r="K6" s="2">
        <f>ROUND(Notes!$B$4*I6+Notes!$B$5*H6+Notes!$B$6*J6,4)</f>
        <v>1</v>
      </c>
      <c r="L6" s="3">
        <f>RANK(K6,K$5:K$42,0)</f>
        <v>1</v>
      </c>
    </row>
    <row r="7" spans="1:12" x14ac:dyDescent="0.45">
      <c r="A7" t="s">
        <v>29</v>
      </c>
      <c r="B7" t="s">
        <v>30</v>
      </c>
      <c r="C7" s="2">
        <f>0.34958311169213</f>
        <v>0.34958311169213002</v>
      </c>
      <c r="D7" s="2">
        <f>1</f>
        <v>1</v>
      </c>
      <c r="E7" s="2">
        <f>0.632751338890881</f>
        <v>0.63275133889088098</v>
      </c>
      <c r="F7" s="2">
        <f>ROUND(Notes!$B$4*D7+Notes!$B$5*C7+Notes!$B$6*E7,4)</f>
        <v>0.6774</v>
      </c>
      <c r="G7" s="3">
        <f>RANK(F7,F$5:F$42,0)</f>
        <v>20</v>
      </c>
      <c r="H7" s="2">
        <f>C7</f>
        <v>0.34958311169213002</v>
      </c>
      <c r="I7" s="2">
        <f>D7</f>
        <v>1</v>
      </c>
      <c r="J7" s="2">
        <f>E7</f>
        <v>0.63275133889088098</v>
      </c>
      <c r="K7" s="2">
        <f>ROUND(Notes!$B$4*I7+Notes!$B$5*H7+Notes!$B$6*J7,4)</f>
        <v>0.6774</v>
      </c>
      <c r="L7" s="3">
        <f>RANK(K7,K$5:K$42,0)</f>
        <v>20</v>
      </c>
    </row>
    <row r="8" spans="1:12" x14ac:dyDescent="0.45">
      <c r="A8" t="s">
        <v>31</v>
      </c>
      <c r="B8" t="s">
        <v>32</v>
      </c>
      <c r="C8" s="2">
        <f>0.826923076923077</f>
        <v>0.82692307692307698</v>
      </c>
      <c r="D8" s="2">
        <f>1</f>
        <v>1</v>
      </c>
      <c r="E8" s="2">
        <f>1</f>
        <v>1</v>
      </c>
      <c r="F8" s="2">
        <f>ROUND(Notes!$B$4*D8+Notes!$B$5*C8+Notes!$B$6*E8,4)</f>
        <v>0.92879999999999996</v>
      </c>
      <c r="G8" s="3">
        <f>RANK(F8,F$5:F$42,0)</f>
        <v>3</v>
      </c>
      <c r="H8" s="2">
        <f>C8</f>
        <v>0.82692307692307698</v>
      </c>
      <c r="I8" s="2">
        <f>D8</f>
        <v>1</v>
      </c>
      <c r="J8" s="2">
        <f>E8</f>
        <v>1</v>
      </c>
      <c r="K8" s="2">
        <f>ROUND(Notes!$B$4*I8+Notes!$B$5*H8+Notes!$B$6*J8,4)</f>
        <v>0.92879999999999996</v>
      </c>
      <c r="L8" s="3">
        <f>RANK(K8,K$5:K$42,0)</f>
        <v>3</v>
      </c>
    </row>
    <row r="9" spans="1:12" x14ac:dyDescent="0.45">
      <c r="A9" t="s">
        <v>33</v>
      </c>
      <c r="B9" t="s">
        <v>34</v>
      </c>
      <c r="C9" s="2">
        <f>0.625</f>
        <v>0.625</v>
      </c>
      <c r="D9" s="2">
        <f>0.967391304347826</f>
        <v>0.96739130434782605</v>
      </c>
      <c r="E9" s="2">
        <f>0.43</f>
        <v>0.43</v>
      </c>
      <c r="F9" s="2">
        <f>ROUND(Notes!$B$4*D9+Notes!$B$5*C9+Notes!$B$6*E9,4)</f>
        <v>0.74619999999999997</v>
      </c>
      <c r="G9" s="3">
        <f>RANK(F9,F$5:F$42,0)</f>
        <v>7</v>
      </c>
      <c r="H9" s="2">
        <f>1</f>
        <v>1</v>
      </c>
      <c r="I9" s="2">
        <f>1</f>
        <v>1</v>
      </c>
      <c r="J9" s="2">
        <f>E9</f>
        <v>0.43</v>
      </c>
      <c r="K9" s="2">
        <f>ROUND(Notes!$B$4*I9+Notes!$B$5*H9+Notes!$B$6*J9,4)</f>
        <v>0.91490000000000005</v>
      </c>
      <c r="L9" s="3">
        <f>RANK(K9,K$5:K$42,0)</f>
        <v>4</v>
      </c>
    </row>
    <row r="10" spans="1:12" x14ac:dyDescent="0.45">
      <c r="A10" t="s">
        <v>35</v>
      </c>
      <c r="B10" t="s">
        <v>36</v>
      </c>
      <c r="C10" s="2">
        <f>0.576669379707147</f>
        <v>0.57666937970714705</v>
      </c>
      <c r="D10" s="2">
        <f>0.869865253929667</f>
        <v>0.86986525392966696</v>
      </c>
      <c r="E10" s="2">
        <f>0.965116279069767</f>
        <v>0.96511627906976705</v>
      </c>
      <c r="F10" s="2">
        <f>ROUND(Notes!$B$4*D10+Notes!$B$5*C10+Notes!$B$6*E10,4)</f>
        <v>0.76339999999999997</v>
      </c>
      <c r="G10" s="3">
        <f>RANK(F10,F$5:F$42,0)</f>
        <v>4</v>
      </c>
      <c r="H10" s="2">
        <f>C10</f>
        <v>0.57666937970714705</v>
      </c>
      <c r="I10" s="2">
        <f>D10</f>
        <v>0.86986525392966696</v>
      </c>
      <c r="J10" s="2">
        <f>E10</f>
        <v>0.96511627906976705</v>
      </c>
      <c r="K10" s="2">
        <f>ROUND(Notes!$B$4*I10+Notes!$B$5*H10+Notes!$B$6*J10,4)</f>
        <v>0.76339999999999997</v>
      </c>
      <c r="L10" s="3">
        <f>RANK(K10,K$5:K$42,0)</f>
        <v>5</v>
      </c>
    </row>
    <row r="11" spans="1:12" x14ac:dyDescent="0.45">
      <c r="A11" t="s">
        <v>37</v>
      </c>
      <c r="B11" t="s">
        <v>38</v>
      </c>
      <c r="C11" s="2">
        <f>0.547953910556565</f>
        <v>0.54795391055656495</v>
      </c>
      <c r="D11" s="2">
        <f>0.921720532319392</f>
        <v>0.92172053231939199</v>
      </c>
      <c r="E11" s="2">
        <f>0.813463195231154</f>
        <v>0.81346319523115396</v>
      </c>
      <c r="F11" s="2">
        <f>ROUND(Notes!$B$4*D11+Notes!$B$5*C11+Notes!$B$6*E11,4)</f>
        <v>0.75170000000000003</v>
      </c>
      <c r="G11" s="3">
        <f>RANK(F11,F$5:F$42,0)</f>
        <v>5</v>
      </c>
      <c r="H11" s="2">
        <f>C11</f>
        <v>0.54795391055656495</v>
      </c>
      <c r="I11" s="2">
        <f>D11</f>
        <v>0.92172053231939199</v>
      </c>
      <c r="J11" s="2">
        <f>E11</f>
        <v>0.81346319523115396</v>
      </c>
      <c r="K11" s="2">
        <f>ROUND(Notes!$B$4*I11+Notes!$B$5*H11+Notes!$B$6*J11,4)</f>
        <v>0.75170000000000003</v>
      </c>
      <c r="L11" s="3">
        <f>RANK(K11,K$5:K$42,0)</f>
        <v>6</v>
      </c>
    </row>
    <row r="12" spans="1:12" x14ac:dyDescent="0.45">
      <c r="A12" t="s">
        <v>39</v>
      </c>
      <c r="B12" t="s">
        <v>40</v>
      </c>
      <c r="C12" s="2">
        <f>0.602353618717047</f>
        <v>0.60235361871704696</v>
      </c>
      <c r="D12" s="2">
        <f>0.86</f>
        <v>0.86</v>
      </c>
      <c r="E12" s="2">
        <f>0.812269350072009</f>
        <v>0.81226935007200896</v>
      </c>
      <c r="F12" s="2">
        <f>ROUND(Notes!$B$4*D12+Notes!$B$5*C12+Notes!$B$6*E12,4)</f>
        <v>0.74680000000000002</v>
      </c>
      <c r="G12" s="3">
        <f>RANK(F12,F$5:F$42,0)</f>
        <v>6</v>
      </c>
      <c r="H12" s="2">
        <f>C12</f>
        <v>0.60235361871704696</v>
      </c>
      <c r="I12" s="2">
        <f>D12</f>
        <v>0.86</v>
      </c>
      <c r="J12" s="2">
        <f>E12</f>
        <v>0.81226935007200896</v>
      </c>
      <c r="K12" s="2">
        <f>ROUND(Notes!$B$4*I12+Notes!$B$5*H12+Notes!$B$6*J12,4)</f>
        <v>0.74680000000000002</v>
      </c>
      <c r="L12" s="3">
        <f>RANK(K12,K$5:K$42,0)</f>
        <v>7</v>
      </c>
    </row>
    <row r="13" spans="1:12" x14ac:dyDescent="0.45">
      <c r="A13" t="s">
        <v>41</v>
      </c>
      <c r="B13" t="s">
        <v>42</v>
      </c>
      <c r="C13" s="2">
        <f>0.547953910556565</f>
        <v>0.54795391055656495</v>
      </c>
      <c r="D13" s="2">
        <f>0.880275603755891</f>
        <v>0.88027560375589098</v>
      </c>
      <c r="E13" s="2">
        <f>0.869865253929667</f>
        <v>0.86986525392966696</v>
      </c>
      <c r="F13" s="2">
        <f>ROUND(Notes!$B$4*D13+Notes!$B$5*C13+Notes!$B$6*E13,4)</f>
        <v>0.7419</v>
      </c>
      <c r="G13" s="3">
        <f>RANK(F13,F$5:F$42,0)</f>
        <v>8</v>
      </c>
      <c r="H13" s="2">
        <f>C13</f>
        <v>0.54795391055656495</v>
      </c>
      <c r="I13" s="2">
        <f>D13</f>
        <v>0.88027560375589098</v>
      </c>
      <c r="J13" s="2">
        <f>E13</f>
        <v>0.86986525392966696</v>
      </c>
      <c r="K13" s="2">
        <f>ROUND(Notes!$B$4*I13+Notes!$B$5*H13+Notes!$B$6*J13,4)</f>
        <v>0.7419</v>
      </c>
      <c r="L13" s="3">
        <f>RANK(K13,K$5:K$42,0)</f>
        <v>8</v>
      </c>
    </row>
    <row r="14" spans="1:12" x14ac:dyDescent="0.45">
      <c r="A14" t="s">
        <v>43</v>
      </c>
      <c r="B14" t="s">
        <v>44</v>
      </c>
      <c r="C14" s="2">
        <f>0.554838709677419</f>
        <v>0.554838709677419</v>
      </c>
      <c r="D14" s="2">
        <f>0.86</f>
        <v>0.86</v>
      </c>
      <c r="E14" s="2">
        <f>0.905263157894737</f>
        <v>0.90526315789473699</v>
      </c>
      <c r="F14" s="2">
        <f>ROUND(Notes!$B$4*D14+Notes!$B$5*C14+Notes!$B$6*E14,4)</f>
        <v>0.74109999999999998</v>
      </c>
      <c r="G14" s="3">
        <f>RANK(F14,F$5:F$42,0)</f>
        <v>9</v>
      </c>
      <c r="H14" s="2">
        <f>C14</f>
        <v>0.554838709677419</v>
      </c>
      <c r="I14" s="2">
        <f>D14</f>
        <v>0.86</v>
      </c>
      <c r="J14" s="2">
        <f>E14</f>
        <v>0.90526315789473699</v>
      </c>
      <c r="K14" s="2">
        <f>ROUND(Notes!$B$4*I14+Notes!$B$5*H14+Notes!$B$6*J14,4)</f>
        <v>0.74109999999999998</v>
      </c>
      <c r="L14" s="3">
        <f>RANK(K14,K$5:K$42,0)</f>
        <v>9</v>
      </c>
    </row>
    <row r="15" spans="1:12" x14ac:dyDescent="0.45">
      <c r="A15" t="s">
        <v>45</v>
      </c>
      <c r="B15" t="s">
        <v>46</v>
      </c>
      <c r="C15" s="2">
        <f>0.547953910556565</f>
        <v>0.54795391055656495</v>
      </c>
      <c r="D15" s="2">
        <f>0.873879108036537</f>
        <v>0.87387910803653701</v>
      </c>
      <c r="E15" s="2">
        <f>0.869865253929667</f>
        <v>0.86986525392966696</v>
      </c>
      <c r="F15" s="2">
        <f>ROUND(Notes!$B$4*D15+Notes!$B$5*C15+Notes!$B$6*E15,4)</f>
        <v>0.73909999999999998</v>
      </c>
      <c r="G15" s="3">
        <f>RANK(F15,F$5:F$42,0)</f>
        <v>10</v>
      </c>
      <c r="H15" s="2">
        <f>C15</f>
        <v>0.54795391055656495</v>
      </c>
      <c r="I15" s="2">
        <f>D15</f>
        <v>0.87387910803653701</v>
      </c>
      <c r="J15" s="2">
        <f>E15</f>
        <v>0.86986525392966696</v>
      </c>
      <c r="K15" s="2">
        <f>ROUND(Notes!$B$4*I15+Notes!$B$5*H15+Notes!$B$6*J15,4)</f>
        <v>0.73909999999999998</v>
      </c>
      <c r="L15" s="3">
        <f>RANK(K15,K$5:K$42,0)</f>
        <v>10</v>
      </c>
    </row>
    <row r="16" spans="1:12" x14ac:dyDescent="0.45">
      <c r="A16" t="s">
        <v>47</v>
      </c>
      <c r="B16" t="s">
        <v>48</v>
      </c>
      <c r="C16" s="2">
        <f>0.547953910556565</f>
        <v>0.54795391055656495</v>
      </c>
      <c r="D16" s="2">
        <f>0.869865253929667</f>
        <v>0.86986525392966696</v>
      </c>
      <c r="E16" s="2">
        <f>0.869865253929667</f>
        <v>0.86986525392966696</v>
      </c>
      <c r="F16" s="2">
        <f>ROUND(Notes!$B$4*D16+Notes!$B$5*C16+Notes!$B$6*E16,4)</f>
        <v>0.73729999999999996</v>
      </c>
      <c r="G16" s="3">
        <f>RANK(F16,F$5:F$42,0)</f>
        <v>11</v>
      </c>
      <c r="H16" s="2">
        <f>C16</f>
        <v>0.54795391055656495</v>
      </c>
      <c r="I16" s="2">
        <f>D16</f>
        <v>0.86986525392966696</v>
      </c>
      <c r="J16" s="2">
        <f>E16</f>
        <v>0.86986525392966696</v>
      </c>
      <c r="K16" s="2">
        <f>ROUND(Notes!$B$4*I16+Notes!$B$5*H16+Notes!$B$6*J16,4)</f>
        <v>0.73729999999999996</v>
      </c>
      <c r="L16" s="3">
        <f>RANK(K16,K$5:K$42,0)</f>
        <v>11</v>
      </c>
    </row>
    <row r="17" spans="1:12" x14ac:dyDescent="0.45">
      <c r="A17" t="s">
        <v>49</v>
      </c>
      <c r="B17" t="s">
        <v>50</v>
      </c>
      <c r="C17" s="2">
        <f>0.543222830616488</f>
        <v>0.54322283061648802</v>
      </c>
      <c r="D17" s="2">
        <f>0.873879108036537</f>
        <v>0.87387910803653701</v>
      </c>
      <c r="E17" s="2">
        <f>0.841318847888109</f>
        <v>0.84131884788810896</v>
      </c>
      <c r="F17" s="2">
        <f>ROUND(Notes!$B$4*D17+Notes!$B$5*C17+Notes!$B$6*E17,4)</f>
        <v>0.7329</v>
      </c>
      <c r="G17" s="3">
        <f>RANK(F17,F$5:F$42,0)</f>
        <v>12</v>
      </c>
      <c r="H17" s="2">
        <f>C17</f>
        <v>0.54322283061648802</v>
      </c>
      <c r="I17" s="2">
        <f>D17</f>
        <v>0.87387910803653701</v>
      </c>
      <c r="J17" s="2">
        <f>E17</f>
        <v>0.84131884788810896</v>
      </c>
      <c r="K17" s="2">
        <f>ROUND(Notes!$B$4*I17+Notes!$B$5*H17+Notes!$B$6*J17,4)</f>
        <v>0.7329</v>
      </c>
      <c r="L17" s="3">
        <f>RANK(K17,K$5:K$42,0)</f>
        <v>12</v>
      </c>
    </row>
    <row r="18" spans="1:12" x14ac:dyDescent="0.45">
      <c r="A18" t="s">
        <v>51</v>
      </c>
      <c r="B18" t="s">
        <v>52</v>
      </c>
      <c r="C18" s="2">
        <f>0.630382676079967</f>
        <v>0.63038267607996701</v>
      </c>
      <c r="D18" s="2">
        <f>0.795219524916135</f>
        <v>0.79521952491613501</v>
      </c>
      <c r="E18" s="2">
        <f>0.795219524916135</f>
        <v>0.79521952491613501</v>
      </c>
      <c r="F18" s="2">
        <f>ROUND(Notes!$B$4*D18+Notes!$B$5*C18+Notes!$B$6*E18,4)</f>
        <v>0.72740000000000005</v>
      </c>
      <c r="G18" s="3">
        <f>RANK(F18,F$5:F$42,0)</f>
        <v>13</v>
      </c>
      <c r="H18" s="2">
        <f>C18</f>
        <v>0.63038267607996701</v>
      </c>
      <c r="I18" s="2">
        <f>D18</f>
        <v>0.79521952491613501</v>
      </c>
      <c r="J18" s="2">
        <f>E18</f>
        <v>0.79521952491613501</v>
      </c>
      <c r="K18" s="2">
        <f>ROUND(Notes!$B$4*I18+Notes!$B$5*H18+Notes!$B$6*J18,4)</f>
        <v>0.72740000000000005</v>
      </c>
      <c r="L18" s="3">
        <f>RANK(K18,K$5:K$42,0)</f>
        <v>13</v>
      </c>
    </row>
    <row r="19" spans="1:12" x14ac:dyDescent="0.45">
      <c r="A19" t="s">
        <v>53</v>
      </c>
      <c r="B19" t="s">
        <v>54</v>
      </c>
      <c r="C19" s="2">
        <f>0.391406012913837</f>
        <v>0.39140601291383698</v>
      </c>
      <c r="D19" s="2">
        <f>1</f>
        <v>1</v>
      </c>
      <c r="E19" s="2">
        <f>0.826923076923077</f>
        <v>0.82692307692307698</v>
      </c>
      <c r="F19" s="2">
        <f>ROUND(Notes!$B$4*D19+Notes!$B$5*C19+Notes!$B$6*E19,4)</f>
        <v>0.72360000000000002</v>
      </c>
      <c r="G19" s="3">
        <f>RANK(F19,F$5:F$42,0)</f>
        <v>14</v>
      </c>
      <c r="H19" s="2">
        <f>C19</f>
        <v>0.39140601291383698</v>
      </c>
      <c r="I19" s="2">
        <f>D19</f>
        <v>1</v>
      </c>
      <c r="J19" s="2">
        <f>E19</f>
        <v>0.82692307692307698</v>
      </c>
      <c r="K19" s="2">
        <f>ROUND(Notes!$B$4*I19+Notes!$B$5*H19+Notes!$B$6*J19,4)</f>
        <v>0.72360000000000002</v>
      </c>
      <c r="L19" s="3">
        <f>RANK(K19,K$5:K$42,0)</f>
        <v>14</v>
      </c>
    </row>
    <row r="20" spans="1:12" x14ac:dyDescent="0.45">
      <c r="A20" t="s">
        <v>55</v>
      </c>
      <c r="B20" t="s">
        <v>56</v>
      </c>
      <c r="C20" s="2">
        <f>0.478865241362287</f>
        <v>0.47886524136228698</v>
      </c>
      <c r="D20" s="2">
        <f>0.901030024355631</f>
        <v>0.90103002435563095</v>
      </c>
      <c r="E20" s="2">
        <f>0.835370889649727</f>
        <v>0.83537088964972706</v>
      </c>
      <c r="F20" s="2">
        <f>ROUND(Notes!$B$4*D20+Notes!$B$5*C20+Notes!$B$6*E20,4)</f>
        <v>0.71740000000000004</v>
      </c>
      <c r="G20" s="3">
        <f>RANK(F20,F$5:F$42,0)</f>
        <v>15</v>
      </c>
      <c r="H20" s="2">
        <f>C20</f>
        <v>0.47886524136228698</v>
      </c>
      <c r="I20" s="2">
        <f>D20</f>
        <v>0.90103002435563095</v>
      </c>
      <c r="J20" s="2">
        <f>E20</f>
        <v>0.83537088964972706</v>
      </c>
      <c r="K20" s="2">
        <f>ROUND(Notes!$B$4*I20+Notes!$B$5*H20+Notes!$B$6*J20,4)</f>
        <v>0.71740000000000004</v>
      </c>
      <c r="L20" s="3">
        <f>RANK(K20,K$5:K$42,0)</f>
        <v>15</v>
      </c>
    </row>
    <row r="21" spans="1:12" x14ac:dyDescent="0.45">
      <c r="A21" t="s">
        <v>57</v>
      </c>
      <c r="B21" t="s">
        <v>58</v>
      </c>
      <c r="C21" s="2">
        <f>0.479318672008477</f>
        <v>0.479318672008477</v>
      </c>
      <c r="D21" s="2">
        <f>0.873417350634541</f>
        <v>0.87341735063454096</v>
      </c>
      <c r="E21" s="2">
        <f>0.869865253929667</f>
        <v>0.86986525392966696</v>
      </c>
      <c r="F21" s="2">
        <f>ROUND(Notes!$B$4*D21+Notes!$B$5*C21+Notes!$B$6*E21,4)</f>
        <v>0.7107</v>
      </c>
      <c r="G21" s="3">
        <f>RANK(F21,F$5:F$42,0)</f>
        <v>16</v>
      </c>
      <c r="H21" s="2">
        <f>C21</f>
        <v>0.479318672008477</v>
      </c>
      <c r="I21" s="2">
        <f>D21</f>
        <v>0.87341735063454096</v>
      </c>
      <c r="J21" s="2">
        <f>E21</f>
        <v>0.86986525392966696</v>
      </c>
      <c r="K21" s="2">
        <f>ROUND(Notes!$B$4*I21+Notes!$B$5*H21+Notes!$B$6*J21,4)</f>
        <v>0.7107</v>
      </c>
      <c r="L21" s="3">
        <f>RANK(K21,K$5:K$42,0)</f>
        <v>16</v>
      </c>
    </row>
    <row r="22" spans="1:12" x14ac:dyDescent="0.45">
      <c r="A22" t="s">
        <v>59</v>
      </c>
      <c r="B22" t="s">
        <v>60</v>
      </c>
      <c r="C22" s="2">
        <f>0.479318672008477</f>
        <v>0.479318672008477</v>
      </c>
      <c r="D22" s="2">
        <f>0.86</f>
        <v>0.86</v>
      </c>
      <c r="E22" s="2">
        <f>0.86</f>
        <v>0.86</v>
      </c>
      <c r="F22" s="2">
        <f>ROUND(Notes!$B$4*D22+Notes!$B$5*C22+Notes!$B$6*E22,4)</f>
        <v>0.70330000000000004</v>
      </c>
      <c r="G22" s="3">
        <f>RANK(F22,F$5:F$42,0)</f>
        <v>17</v>
      </c>
      <c r="H22" s="2">
        <f>C22</f>
        <v>0.479318672008477</v>
      </c>
      <c r="I22" s="2">
        <f>D22</f>
        <v>0.86</v>
      </c>
      <c r="J22" s="2">
        <f>E22</f>
        <v>0.86</v>
      </c>
      <c r="K22" s="2">
        <f>ROUND(Notes!$B$4*I22+Notes!$B$5*H22+Notes!$B$6*J22,4)</f>
        <v>0.70330000000000004</v>
      </c>
      <c r="L22" s="3">
        <f>RANK(K22,K$5:K$42,0)</f>
        <v>17</v>
      </c>
    </row>
    <row r="23" spans="1:12" x14ac:dyDescent="0.45">
      <c r="A23" t="s">
        <v>61</v>
      </c>
      <c r="B23" t="s">
        <v>62</v>
      </c>
      <c r="C23" s="2">
        <f>0.547953910556565</f>
        <v>0.54795391055656495</v>
      </c>
      <c r="D23" s="2">
        <f>0.888411247396436</f>
        <v>0.88841124739643595</v>
      </c>
      <c r="E23" s="2">
        <f>0.547953910556565</f>
        <v>0.54795391055656495</v>
      </c>
      <c r="F23" s="2">
        <f>ROUND(Notes!$B$4*D23+Notes!$B$5*C23+Notes!$B$6*E23,4)</f>
        <v>0.69750000000000001</v>
      </c>
      <c r="G23" s="3">
        <f>RANK(F23,F$5:F$42,0)</f>
        <v>18</v>
      </c>
      <c r="H23" s="2">
        <f>C23</f>
        <v>0.54795391055656495</v>
      </c>
      <c r="I23" s="2">
        <f>D23</f>
        <v>0.88841124739643595</v>
      </c>
      <c r="J23" s="2">
        <f>E23</f>
        <v>0.54795391055656495</v>
      </c>
      <c r="K23" s="2">
        <f>ROUND(Notes!$B$4*I23+Notes!$B$5*H23+Notes!$B$6*J23,4)</f>
        <v>0.69750000000000001</v>
      </c>
      <c r="L23" s="3">
        <f>RANK(K23,K$5:K$42,0)</f>
        <v>18</v>
      </c>
    </row>
    <row r="24" spans="1:12" x14ac:dyDescent="0.45">
      <c r="A24" t="s">
        <v>63</v>
      </c>
      <c r="B24" t="s">
        <v>64</v>
      </c>
      <c r="C24" s="2">
        <f>0.518965517241379</f>
        <v>0.51896551724137896</v>
      </c>
      <c r="D24" s="2">
        <f>0.826923076923077</f>
        <v>0.82692307692307698</v>
      </c>
      <c r="E24" s="2">
        <f>0.737888702767901</f>
        <v>0.73788870276790097</v>
      </c>
      <c r="F24" s="2">
        <f>ROUND(Notes!$B$4*D24+Notes!$B$5*C24+Notes!$B$6*E24,4)</f>
        <v>0.68689999999999996</v>
      </c>
      <c r="G24" s="3">
        <f>RANK(F24,F$5:F$42,0)</f>
        <v>19</v>
      </c>
      <c r="H24" s="2">
        <f>C24</f>
        <v>0.51896551724137896</v>
      </c>
      <c r="I24" s="2">
        <f>D24</f>
        <v>0.82692307692307698</v>
      </c>
      <c r="J24" s="2">
        <f>E24</f>
        <v>0.73788870276790097</v>
      </c>
      <c r="K24" s="2">
        <f>ROUND(Notes!$B$4*I24+Notes!$B$5*H24+Notes!$B$6*J24,4)</f>
        <v>0.68689999999999996</v>
      </c>
      <c r="L24" s="3">
        <f>RANK(K24,K$5:K$42,0)</f>
        <v>19</v>
      </c>
    </row>
    <row r="25" spans="1:12" x14ac:dyDescent="0.45">
      <c r="A25" t="s">
        <v>65</v>
      </c>
      <c r="B25" t="s">
        <v>66</v>
      </c>
      <c r="C25" s="2">
        <f>0.391406012913837</f>
        <v>0.39140601291383698</v>
      </c>
      <c r="D25" s="2">
        <f>0.737888702767901</f>
        <v>0.73788870276790097</v>
      </c>
      <c r="E25" s="2">
        <f>0.869865253929667</f>
        <v>0.86986525392966696</v>
      </c>
      <c r="F25" s="2">
        <f>ROUND(Notes!$B$4*D25+Notes!$B$5*C25+Notes!$B$6*E25,4)</f>
        <v>0.6149</v>
      </c>
      <c r="G25" s="3">
        <f>RANK(F25,F$5:F$42,0)</f>
        <v>29</v>
      </c>
      <c r="H25" s="2">
        <f>C25</f>
        <v>0.39140601291383698</v>
      </c>
      <c r="I25" s="2">
        <f>D25</f>
        <v>0.73788870276790097</v>
      </c>
      <c r="J25" s="2">
        <f>E25</f>
        <v>0.86986525392966696</v>
      </c>
      <c r="K25" s="2">
        <f>ROUND(Notes!$B$4*I25+Notes!$B$5*H25+Notes!$B$6*J25,4)</f>
        <v>0.6149</v>
      </c>
      <c r="L25" s="3">
        <f>RANK(K25,K$5:K$42,0)</f>
        <v>29</v>
      </c>
    </row>
    <row r="26" spans="1:12" x14ac:dyDescent="0.45">
      <c r="A26" t="s">
        <v>67</v>
      </c>
      <c r="B26" t="s">
        <v>68</v>
      </c>
      <c r="C26" s="2">
        <f>0.408845614108812</f>
        <v>0.40884561410881198</v>
      </c>
      <c r="D26" s="2">
        <f>0.884365027341364</f>
        <v>0.88436502734136402</v>
      </c>
      <c r="E26" s="2">
        <f>0.737888702767901</f>
        <v>0.73788870276790097</v>
      </c>
      <c r="F26" s="2">
        <f>ROUND(Notes!$B$4*D26+Notes!$B$5*C26+Notes!$B$6*E26,4)</f>
        <v>0.66679999999999995</v>
      </c>
      <c r="G26" s="3">
        <f>RANK(F26,F$5:F$42,0)</f>
        <v>21</v>
      </c>
      <c r="H26" s="2">
        <f>C26</f>
        <v>0.40884561410881198</v>
      </c>
      <c r="I26" s="2">
        <f>D26</f>
        <v>0.88436502734136402</v>
      </c>
      <c r="J26" s="2">
        <f>E26</f>
        <v>0.73788870276790097</v>
      </c>
      <c r="K26" s="2">
        <f>ROUND(Notes!$B$4*I26+Notes!$B$5*H26+Notes!$B$6*J26,4)</f>
        <v>0.66679999999999995</v>
      </c>
      <c r="L26" s="3">
        <f>RANK(K26,K$5:K$42,0)</f>
        <v>21</v>
      </c>
    </row>
    <row r="27" spans="1:12" x14ac:dyDescent="0.45">
      <c r="A27" t="s">
        <v>69</v>
      </c>
      <c r="B27" t="s">
        <v>70</v>
      </c>
      <c r="C27" s="2">
        <f>0.431068736527055</f>
        <v>0.43106873652705502</v>
      </c>
      <c r="D27" s="2">
        <f>0.864149148541634</f>
        <v>0.86414914854163405</v>
      </c>
      <c r="E27" s="2">
        <f>0.69441435606903</f>
        <v>0.69441435606903001</v>
      </c>
      <c r="F27" s="2">
        <f>ROUND(Notes!$B$4*D27+Notes!$B$5*C27+Notes!$B$6*E27,4)</f>
        <v>0.66049999999999998</v>
      </c>
      <c r="G27" s="3">
        <f>RANK(F27,F$5:F$42,0)</f>
        <v>22</v>
      </c>
      <c r="H27" s="2">
        <f>C27</f>
        <v>0.43106873652705502</v>
      </c>
      <c r="I27" s="2">
        <f>D27</f>
        <v>0.86414914854163405</v>
      </c>
      <c r="J27" s="2">
        <f>E27</f>
        <v>0.69441435606903001</v>
      </c>
      <c r="K27" s="2">
        <f>ROUND(Notes!$B$4*I27+Notes!$B$5*H27+Notes!$B$6*J27,4)</f>
        <v>0.66049999999999998</v>
      </c>
      <c r="L27" s="3">
        <f>RANK(K27,K$5:K$42,0)</f>
        <v>22</v>
      </c>
    </row>
    <row r="28" spans="1:12" x14ac:dyDescent="0.45">
      <c r="A28" t="s">
        <v>71</v>
      </c>
      <c r="B28" t="s">
        <v>72</v>
      </c>
      <c r="C28" s="2">
        <f>0.391406012913837</f>
        <v>0.39140601291383698</v>
      </c>
      <c r="D28" s="2">
        <f>0.869865253929667</f>
        <v>0.86986525392966696</v>
      </c>
      <c r="E28" s="2">
        <f>0.737888702767901</f>
        <v>0.73788870276790097</v>
      </c>
      <c r="F28" s="2">
        <f>ROUND(Notes!$B$4*D28+Notes!$B$5*C28+Notes!$B$6*E28,4)</f>
        <v>0.6532</v>
      </c>
      <c r="G28" s="3">
        <f>RANK(F28,F$5:F$42,0)</f>
        <v>23</v>
      </c>
      <c r="H28" s="2">
        <f>C28</f>
        <v>0.39140601291383698</v>
      </c>
      <c r="I28" s="2">
        <f>D28</f>
        <v>0.86986525392966696</v>
      </c>
      <c r="J28" s="2">
        <f>E28</f>
        <v>0.73788870276790097</v>
      </c>
      <c r="K28" s="2">
        <f>ROUND(Notes!$B$4*I28+Notes!$B$5*H28+Notes!$B$6*J28,4)</f>
        <v>0.6532</v>
      </c>
      <c r="L28" s="3">
        <f>RANK(K28,K$5:K$42,0)</f>
        <v>23</v>
      </c>
    </row>
    <row r="29" spans="1:12" x14ac:dyDescent="0.45">
      <c r="A29" t="s">
        <v>73</v>
      </c>
      <c r="B29" t="s">
        <v>74</v>
      </c>
      <c r="C29" s="2">
        <f>0.479318672008477</f>
        <v>0.479318672008477</v>
      </c>
      <c r="D29" s="2">
        <f>0.851484971473245</f>
        <v>0.85148497147324498</v>
      </c>
      <c r="E29" s="2">
        <f>0.547953910556565</f>
        <v>0.54795391055656495</v>
      </c>
      <c r="F29" s="2">
        <f>ROUND(Notes!$B$4*D29+Notes!$B$5*C29+Notes!$B$6*E29,4)</f>
        <v>0.65300000000000002</v>
      </c>
      <c r="G29" s="3">
        <f>RANK(F29,F$5:F$42,0)</f>
        <v>24</v>
      </c>
      <c r="H29" s="2">
        <f>C29</f>
        <v>0.479318672008477</v>
      </c>
      <c r="I29" s="2">
        <f>D29</f>
        <v>0.85148497147324498</v>
      </c>
      <c r="J29" s="2">
        <f>E29</f>
        <v>0.54795391055656495</v>
      </c>
      <c r="K29" s="2">
        <f>ROUND(Notes!$B$4*I29+Notes!$B$5*H29+Notes!$B$6*J29,4)</f>
        <v>0.65300000000000002</v>
      </c>
      <c r="L29" s="3">
        <f>RANK(K29,K$5:K$42,0)</f>
        <v>24</v>
      </c>
    </row>
    <row r="30" spans="1:12" x14ac:dyDescent="0.45">
      <c r="A30" t="s">
        <v>75</v>
      </c>
      <c r="B30" t="s">
        <v>76</v>
      </c>
      <c r="C30" s="2">
        <f>0.391406012913837</f>
        <v>0.39140601291383698</v>
      </c>
      <c r="D30" s="2">
        <f>0.826923076923077</f>
        <v>0.82692307692307698</v>
      </c>
      <c r="E30" s="2">
        <f>0.81340644290143</f>
        <v>0.81340644290143005</v>
      </c>
      <c r="F30" s="2">
        <f>ROUND(Notes!$B$4*D30+Notes!$B$5*C30+Notes!$B$6*E30,4)</f>
        <v>0.64559999999999995</v>
      </c>
      <c r="G30" s="3">
        <f>RANK(F30,F$5:F$42,0)</f>
        <v>25</v>
      </c>
      <c r="H30" s="2">
        <f>C30</f>
        <v>0.39140601291383698</v>
      </c>
      <c r="I30" s="2">
        <f>D30</f>
        <v>0.82692307692307698</v>
      </c>
      <c r="J30" s="2">
        <f>E30</f>
        <v>0.81340644290143005</v>
      </c>
      <c r="K30" s="2">
        <f>ROUND(Notes!$B$4*I30+Notes!$B$5*H30+Notes!$B$6*J30,4)</f>
        <v>0.64559999999999995</v>
      </c>
      <c r="L30" s="3">
        <f>RANK(K30,K$5:K$42,0)</f>
        <v>25</v>
      </c>
    </row>
    <row r="31" spans="1:12" x14ac:dyDescent="0.45">
      <c r="A31" t="s">
        <v>77</v>
      </c>
      <c r="B31" t="s">
        <v>78</v>
      </c>
      <c r="C31" s="2">
        <f>0.479318672008477</f>
        <v>0.479318672008477</v>
      </c>
      <c r="D31" s="2">
        <f>0.787075165170195</f>
        <v>0.78707516517019505</v>
      </c>
      <c r="E31" s="2">
        <f>0.646263719038607</f>
        <v>0.64626371903860702</v>
      </c>
      <c r="F31" s="2">
        <f>ROUND(Notes!$B$4*D31+Notes!$B$5*C31+Notes!$B$6*E31,4)</f>
        <v>0.63939999999999997</v>
      </c>
      <c r="G31" s="3">
        <f>RANK(F31,F$5:F$42,0)</f>
        <v>26</v>
      </c>
      <c r="H31" s="2">
        <f>C31</f>
        <v>0.479318672008477</v>
      </c>
      <c r="I31" s="2">
        <f>D31</f>
        <v>0.78707516517019505</v>
      </c>
      <c r="J31" s="2">
        <f>E31</f>
        <v>0.64626371903860702</v>
      </c>
      <c r="K31" s="2">
        <f>ROUND(Notes!$B$4*I31+Notes!$B$5*H31+Notes!$B$6*J31,4)</f>
        <v>0.63939999999999997</v>
      </c>
      <c r="L31" s="3">
        <f>RANK(K31,K$5:K$42,0)</f>
        <v>26</v>
      </c>
    </row>
    <row r="32" spans="1:12" x14ac:dyDescent="0.45">
      <c r="A32" t="s">
        <v>79</v>
      </c>
      <c r="B32" t="s">
        <v>80</v>
      </c>
      <c r="C32" s="2">
        <f>0.479318672008477</f>
        <v>0.479318672008477</v>
      </c>
      <c r="D32" s="2">
        <f>0.737888702767901</f>
        <v>0.73788870276790097</v>
      </c>
      <c r="E32" s="2">
        <f>0.737888702767901</f>
        <v>0.73788870276790097</v>
      </c>
      <c r="F32" s="2">
        <f>ROUND(Notes!$B$4*D32+Notes!$B$5*C32+Notes!$B$6*E32,4)</f>
        <v>0.63139999999999996</v>
      </c>
      <c r="G32" s="3">
        <f>RANK(F32,F$5:F$42,0)</f>
        <v>27</v>
      </c>
      <c r="H32" s="2">
        <f>C32</f>
        <v>0.479318672008477</v>
      </c>
      <c r="I32" s="2">
        <f>D32</f>
        <v>0.73788870276790097</v>
      </c>
      <c r="J32" s="2">
        <f>E32</f>
        <v>0.73788870276790097</v>
      </c>
      <c r="K32" s="2">
        <f>ROUND(Notes!$B$4*I32+Notes!$B$5*H32+Notes!$B$6*J32,4)</f>
        <v>0.63139999999999996</v>
      </c>
      <c r="L32" s="3">
        <f>RANK(K32,K$5:K$42,0)</f>
        <v>27</v>
      </c>
    </row>
    <row r="33" spans="1:12" x14ac:dyDescent="0.45">
      <c r="A33" t="s">
        <v>81</v>
      </c>
      <c r="B33" t="s">
        <v>82</v>
      </c>
      <c r="C33" s="2">
        <f>0.338474732816403</f>
        <v>0.338474732816403</v>
      </c>
      <c r="D33" s="2">
        <f>0.813463195231154</f>
        <v>0.81346319523115396</v>
      </c>
      <c r="E33" s="2">
        <f>0.869865253929667</f>
        <v>0.86986525392966696</v>
      </c>
      <c r="F33" s="2">
        <f>ROUND(Notes!$B$4*D33+Notes!$B$5*C33+Notes!$B$6*E33,4)</f>
        <v>0.62629999999999997</v>
      </c>
      <c r="G33" s="3">
        <f>RANK(F33,F$5:F$42,0)</f>
        <v>28</v>
      </c>
      <c r="H33" s="2">
        <f>C33</f>
        <v>0.338474732816403</v>
      </c>
      <c r="I33" s="2">
        <f>D33</f>
        <v>0.81346319523115396</v>
      </c>
      <c r="J33" s="2">
        <f>E33</f>
        <v>0.86986525392966696</v>
      </c>
      <c r="K33" s="2">
        <f>ROUND(Notes!$B$4*I33+Notes!$B$5*H33+Notes!$B$6*J33,4)</f>
        <v>0.62629999999999997</v>
      </c>
      <c r="L33" s="3">
        <f>RANK(K33,K$5:K$42,0)</f>
        <v>28</v>
      </c>
    </row>
    <row r="34" spans="1:12" x14ac:dyDescent="0.45">
      <c r="A34" t="s">
        <v>83</v>
      </c>
      <c r="B34" t="s">
        <v>84</v>
      </c>
      <c r="C34" s="2">
        <f>0.391406012913837</f>
        <v>0.39140601291383698</v>
      </c>
      <c r="D34" s="2">
        <f>0.778563038959402</f>
        <v>0.77856303895940204</v>
      </c>
      <c r="E34" s="2">
        <f>0.737888702767901</f>
        <v>0.73788870276790097</v>
      </c>
      <c r="F34" s="2">
        <f>ROUND(Notes!$B$4*D34+Notes!$B$5*C34+Notes!$B$6*E34,4)</f>
        <v>0.61309999999999998</v>
      </c>
      <c r="G34" s="3">
        <f>RANK(F34,F$5:F$42,0)</f>
        <v>30</v>
      </c>
      <c r="H34" s="2">
        <f>C34</f>
        <v>0.39140601291383698</v>
      </c>
      <c r="I34" s="2">
        <f>D34</f>
        <v>0.77856303895940204</v>
      </c>
      <c r="J34" s="2">
        <f>E34</f>
        <v>0.73788870276790097</v>
      </c>
      <c r="K34" s="2">
        <f>ROUND(Notes!$B$4*I34+Notes!$B$5*H34+Notes!$B$6*J34,4)</f>
        <v>0.61309999999999998</v>
      </c>
      <c r="L34" s="3">
        <f>RANK(K34,K$5:K$42,0)</f>
        <v>30</v>
      </c>
    </row>
    <row r="35" spans="1:12" x14ac:dyDescent="0.45">
      <c r="A35" t="s">
        <v>85</v>
      </c>
      <c r="B35" t="s">
        <v>86</v>
      </c>
      <c r="C35" s="2">
        <f>0.278958448750364</f>
        <v>0.27895844875036402</v>
      </c>
      <c r="D35" s="2">
        <f>0.859028659709284</f>
        <v>0.85902865970928399</v>
      </c>
      <c r="E35" s="2">
        <f>0.787075165170195</f>
        <v>0.78707516517019505</v>
      </c>
      <c r="F35" s="2">
        <f>ROUND(Notes!$B$4*D35+Notes!$B$5*C35+Notes!$B$6*E35,4)</f>
        <v>0.60950000000000004</v>
      </c>
      <c r="G35" s="3">
        <f>RANK(F35,F$5:F$42,0)</f>
        <v>31</v>
      </c>
      <c r="H35" s="2">
        <f>C35</f>
        <v>0.27895844875036402</v>
      </c>
      <c r="I35" s="2">
        <f>D35</f>
        <v>0.85902865970928399</v>
      </c>
      <c r="J35" s="2">
        <f>E35</f>
        <v>0.78707516517019505</v>
      </c>
      <c r="K35" s="2">
        <f>ROUND(Notes!$B$4*I35+Notes!$B$5*H35+Notes!$B$6*J35,4)</f>
        <v>0.60950000000000004</v>
      </c>
      <c r="L35" s="3">
        <f>RANK(K35,K$5:K$42,0)</f>
        <v>31</v>
      </c>
    </row>
    <row r="36" spans="1:12" x14ac:dyDescent="0.45">
      <c r="A36" t="s">
        <v>87</v>
      </c>
      <c r="B36" t="s">
        <v>88</v>
      </c>
      <c r="C36" s="2">
        <f>0.373913043478261</f>
        <v>0.37391304347826099</v>
      </c>
      <c r="D36" s="2">
        <f>0.781818181818182</f>
        <v>0.78181818181818197</v>
      </c>
      <c r="E36" s="2">
        <f>0.737888702767901</f>
        <v>0.73788870276790097</v>
      </c>
      <c r="F36" s="2">
        <f>ROUND(Notes!$B$4*D36+Notes!$B$5*C36+Notes!$B$6*E36,4)</f>
        <v>0.60729999999999995</v>
      </c>
      <c r="G36" s="3">
        <f>RANK(F36,F$5:F$42,0)</f>
        <v>32</v>
      </c>
      <c r="H36" s="2">
        <f>C36</f>
        <v>0.37391304347826099</v>
      </c>
      <c r="I36" s="2">
        <f>D36</f>
        <v>0.78181818181818197</v>
      </c>
      <c r="J36" s="2">
        <f>E36</f>
        <v>0.73788870276790097</v>
      </c>
      <c r="K36" s="2">
        <f>ROUND(Notes!$B$4*I36+Notes!$B$5*H36+Notes!$B$6*J36,4)</f>
        <v>0.60729999999999995</v>
      </c>
      <c r="L36" s="3">
        <f>RANK(K36,K$5:K$42,0)</f>
        <v>32</v>
      </c>
    </row>
    <row r="37" spans="1:12" x14ac:dyDescent="0.45">
      <c r="A37" t="s">
        <v>89</v>
      </c>
      <c r="B37" t="s">
        <v>90</v>
      </c>
      <c r="C37" s="2">
        <f>0.338474732816403</f>
        <v>0.338474732816403</v>
      </c>
      <c r="D37" s="2">
        <f>0.737888702767901</f>
        <v>0.73788870276790097</v>
      </c>
      <c r="E37" s="2">
        <f>0.869865253929667</f>
        <v>0.86986525392966696</v>
      </c>
      <c r="F37" s="2">
        <f>ROUND(Notes!$B$4*D37+Notes!$B$5*C37+Notes!$B$6*E37,4)</f>
        <v>0.59319999999999995</v>
      </c>
      <c r="G37" s="3">
        <f>RANK(F37,F$5:F$42,0)</f>
        <v>33</v>
      </c>
      <c r="H37" s="2">
        <f>C37</f>
        <v>0.338474732816403</v>
      </c>
      <c r="I37" s="2">
        <f>D37</f>
        <v>0.73788870276790097</v>
      </c>
      <c r="J37" s="2">
        <f>E37</f>
        <v>0.86986525392966696</v>
      </c>
      <c r="K37" s="2">
        <f>ROUND(Notes!$B$4*I37+Notes!$B$5*H37+Notes!$B$6*J37,4)</f>
        <v>0.59319999999999995</v>
      </c>
      <c r="L37" s="3">
        <f>RANK(K37,K$5:K$42,0)</f>
        <v>33</v>
      </c>
    </row>
    <row r="38" spans="1:12" x14ac:dyDescent="0.45">
      <c r="A38" t="s">
        <v>91</v>
      </c>
      <c r="B38" t="s">
        <v>92</v>
      </c>
      <c r="C38" s="2">
        <f>0.278958448750364</f>
        <v>0.27895844875036402</v>
      </c>
      <c r="D38" s="2">
        <f>0.822456690745778</f>
        <v>0.82245669074577799</v>
      </c>
      <c r="E38" s="2">
        <f>0.737888702767901</f>
        <v>0.73788870276790097</v>
      </c>
      <c r="F38" s="2">
        <f>ROUND(Notes!$B$4*D38+Notes!$B$5*C38+Notes!$B$6*E38,4)</f>
        <v>0.58609999999999995</v>
      </c>
      <c r="G38" s="3">
        <f>RANK(F38,F$5:F$42,0)</f>
        <v>34</v>
      </c>
      <c r="H38" s="2">
        <f>C38</f>
        <v>0.27895844875036402</v>
      </c>
      <c r="I38" s="2">
        <f>D38</f>
        <v>0.82245669074577799</v>
      </c>
      <c r="J38" s="2">
        <f>E38</f>
        <v>0.73788870276790097</v>
      </c>
      <c r="K38" s="2">
        <f>ROUND(Notes!$B$4*I38+Notes!$B$5*H38+Notes!$B$6*J38,4)</f>
        <v>0.58609999999999995</v>
      </c>
      <c r="L38" s="3">
        <f>RANK(K38,K$5:K$42,0)</f>
        <v>34</v>
      </c>
    </row>
    <row r="39" spans="1:12" x14ac:dyDescent="0.45">
      <c r="A39" t="s">
        <v>93</v>
      </c>
      <c r="B39" t="s">
        <v>94</v>
      </c>
      <c r="C39" s="2">
        <f>0.278958448750364</f>
        <v>0.27895844875036402</v>
      </c>
      <c r="D39" s="2">
        <f>0.816200383417959</f>
        <v>0.81620038341795897</v>
      </c>
      <c r="E39" s="2">
        <f>0.737888702767901</f>
        <v>0.73788870276790097</v>
      </c>
      <c r="F39" s="2">
        <f>ROUND(Notes!$B$4*D39+Notes!$B$5*C39+Notes!$B$6*E39,4)</f>
        <v>0.58340000000000003</v>
      </c>
      <c r="G39" s="3">
        <f>RANK(F39,F$5:F$42,0)</f>
        <v>35</v>
      </c>
      <c r="H39" s="2">
        <f>C39</f>
        <v>0.27895844875036402</v>
      </c>
      <c r="I39" s="2">
        <f>D39</f>
        <v>0.81620038341795897</v>
      </c>
      <c r="J39" s="2">
        <f>E39</f>
        <v>0.73788870276790097</v>
      </c>
      <c r="K39" s="2">
        <f>ROUND(Notes!$B$4*I39+Notes!$B$5*H39+Notes!$B$6*J39,4)</f>
        <v>0.58340000000000003</v>
      </c>
      <c r="L39" s="3">
        <f>RANK(K39,K$5:K$42,0)</f>
        <v>35</v>
      </c>
    </row>
    <row r="40" spans="1:12" x14ac:dyDescent="0.45">
      <c r="A40" t="s">
        <v>95</v>
      </c>
      <c r="B40" t="s">
        <v>96</v>
      </c>
      <c r="C40" s="2">
        <f>0.305956530933891</f>
        <v>0.30595653093389102</v>
      </c>
      <c r="D40" s="2">
        <f>0.737888702767901</f>
        <v>0.73788870276790097</v>
      </c>
      <c r="E40" s="2">
        <f>0.869865253929667</f>
        <v>0.86986525392966696</v>
      </c>
      <c r="F40" s="2">
        <f>ROUND(Notes!$B$4*D40+Notes!$B$5*C40+Notes!$B$6*E40,4)</f>
        <v>0.57979999999999998</v>
      </c>
      <c r="G40" s="3">
        <f>RANK(F40,F$5:F$42,0)</f>
        <v>36</v>
      </c>
      <c r="H40" s="2">
        <f>C40</f>
        <v>0.30595653093389102</v>
      </c>
      <c r="I40" s="2">
        <f>D40</f>
        <v>0.73788870276790097</v>
      </c>
      <c r="J40" s="2">
        <f>E40</f>
        <v>0.86986525392966696</v>
      </c>
      <c r="K40" s="2">
        <f>ROUND(Notes!$B$4*I40+Notes!$B$5*H40+Notes!$B$6*J40,4)</f>
        <v>0.57979999999999998</v>
      </c>
      <c r="L40" s="3">
        <f>RANK(K40,K$5:K$42,0)</f>
        <v>36</v>
      </c>
    </row>
    <row r="41" spans="1:12" x14ac:dyDescent="0.45">
      <c r="A41" t="s">
        <v>97</v>
      </c>
      <c r="B41" t="s">
        <v>98</v>
      </c>
      <c r="C41" s="2">
        <f>0.2</f>
        <v>0.2</v>
      </c>
      <c r="D41" s="2">
        <f>0.74468085106383</f>
        <v>0.74468085106382997</v>
      </c>
      <c r="E41" s="2">
        <f>0.547953910556565</f>
        <v>0.54795391055656495</v>
      </c>
      <c r="F41" s="2">
        <f>ROUND(Notes!$B$4*D41+Notes!$B$5*C41+Notes!$B$6*E41,4)</f>
        <v>0.49109999999999998</v>
      </c>
      <c r="G41" s="3">
        <f>RANK(F41,F$5:F$42,0)</f>
        <v>37</v>
      </c>
      <c r="H41" s="2">
        <f>C41</f>
        <v>0.2</v>
      </c>
      <c r="I41" s="2">
        <f>D41</f>
        <v>0.74468085106382997</v>
      </c>
      <c r="J41" s="2">
        <f>E41</f>
        <v>0.54795391055656495</v>
      </c>
      <c r="K41" s="2">
        <f>ROUND(Notes!$B$4*I41+Notes!$B$5*H41+Notes!$B$6*J41,4)</f>
        <v>0.49109999999999998</v>
      </c>
      <c r="L41" s="3">
        <f>RANK(K41,K$5:K$42,0)</f>
        <v>37</v>
      </c>
    </row>
    <row r="42" spans="1:12" x14ac:dyDescent="0.45">
      <c r="A42" t="s">
        <v>99</v>
      </c>
      <c r="B42" t="s">
        <v>100</v>
      </c>
      <c r="C42" s="2">
        <f>0.42321653857669</f>
        <v>0.42321653857669</v>
      </c>
      <c r="D42" s="2">
        <f>0.705977756078566</f>
        <v>0.70597775607856605</v>
      </c>
      <c r="E42" s="2">
        <f>0</f>
        <v>0</v>
      </c>
      <c r="F42" s="2">
        <f>ROUND(Notes!$B$4*D42+Notes!$B$5*C42+Notes!$B$6*E42,4)</f>
        <v>0.48420000000000002</v>
      </c>
      <c r="G42" s="3">
        <f>RANK(F42,F$5:F$42,0)</f>
        <v>38</v>
      </c>
      <c r="H42" s="2">
        <f>C42</f>
        <v>0.42321653857669</v>
      </c>
      <c r="I42" s="2">
        <f>D42</f>
        <v>0.70597775607856605</v>
      </c>
      <c r="J42" s="2">
        <f>E42</f>
        <v>0</v>
      </c>
      <c r="K42" s="2">
        <f>ROUND(Notes!$B$4*I42+Notes!$B$5*H42+Notes!$B$6*J42,4)</f>
        <v>0.48420000000000002</v>
      </c>
      <c r="L42" s="3">
        <f>RANK(K42,K$5:K$42,0)</f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EB76F-5DF3-4A80-8A8F-C8997B63138F}">
  <dimension ref="A1:U42"/>
  <sheetViews>
    <sheetView workbookViewId="0"/>
  </sheetViews>
  <sheetFormatPr defaultRowHeight="14.25" x14ac:dyDescent="0.45"/>
  <cols>
    <col min="1" max="1" width="20.59765625" customWidth="1"/>
    <col min="2" max="2" width="12.59765625" customWidth="1"/>
    <col min="3" max="3" width="10.59765625" customWidth="1"/>
    <col min="4" max="4" width="12.59765625" customWidth="1"/>
    <col min="5" max="5" width="10.59765625" customWidth="1"/>
    <col min="6" max="6" width="12.59765625" customWidth="1"/>
    <col min="7" max="7" width="10.59765625" customWidth="1"/>
    <col min="8" max="8" width="12.59765625" customWidth="1"/>
    <col min="9" max="9" width="10.59765625" customWidth="1"/>
    <col min="10" max="10" width="12.59765625" customWidth="1"/>
    <col min="11" max="11" width="10.59765625" customWidth="1"/>
    <col min="12" max="12" width="12.59765625" customWidth="1"/>
    <col min="13" max="13" width="10.59765625" customWidth="1"/>
    <col min="14" max="14" width="12.59765625" customWidth="1"/>
    <col min="15" max="15" width="10.59765625" customWidth="1"/>
    <col min="16" max="16" width="12.59765625" customWidth="1"/>
    <col min="17" max="17" width="10.59765625" customWidth="1"/>
    <col min="18" max="18" width="12.59765625" customWidth="1"/>
    <col min="19" max="19" width="10.59765625" customWidth="1"/>
    <col min="20" max="20" width="12.59765625" customWidth="1"/>
    <col min="21" max="21" width="10.59765625" customWidth="1"/>
  </cols>
  <sheetData>
    <row r="1" spans="1:21" x14ac:dyDescent="0.45">
      <c r="A1" s="1" t="s">
        <v>110</v>
      </c>
    </row>
    <row r="2" spans="1:21" x14ac:dyDescent="0.45">
      <c r="A2" t="s">
        <v>111</v>
      </c>
    </row>
    <row r="4" spans="1:21" x14ac:dyDescent="0.45">
      <c r="A4" s="1" t="s">
        <v>13</v>
      </c>
      <c r="B4" s="1" t="s">
        <v>112</v>
      </c>
      <c r="C4" s="1" t="s">
        <v>113</v>
      </c>
      <c r="D4" s="1" t="s">
        <v>114</v>
      </c>
      <c r="E4" s="1" t="s">
        <v>115</v>
      </c>
      <c r="F4" s="1" t="s">
        <v>116</v>
      </c>
      <c r="G4" s="1" t="s">
        <v>117</v>
      </c>
      <c r="H4" s="1" t="s">
        <v>118</v>
      </c>
      <c r="I4" s="1" t="s">
        <v>119</v>
      </c>
      <c r="J4" s="1" t="s">
        <v>120</v>
      </c>
      <c r="K4" s="1" t="s">
        <v>121</v>
      </c>
      <c r="L4" s="1" t="s">
        <v>122</v>
      </c>
      <c r="M4" s="1" t="s">
        <v>123</v>
      </c>
      <c r="N4" s="1" t="s">
        <v>124</v>
      </c>
      <c r="O4" s="1" t="s">
        <v>125</v>
      </c>
      <c r="P4" s="1" t="s">
        <v>126</v>
      </c>
      <c r="Q4" s="1" t="s">
        <v>127</v>
      </c>
      <c r="R4" s="1" t="s">
        <v>128</v>
      </c>
      <c r="S4" s="1" t="s">
        <v>129</v>
      </c>
      <c r="T4" s="1" t="s">
        <v>130</v>
      </c>
      <c r="U4" s="1" t="s">
        <v>131</v>
      </c>
    </row>
    <row r="5" spans="1:21" x14ac:dyDescent="0.45">
      <c r="A5" t="str">
        <f>'2026'!A5</f>
        <v>Estonia</v>
      </c>
      <c r="B5" s="2">
        <f>'2026'!F5</f>
        <v>1</v>
      </c>
      <c r="C5" s="3">
        <f>'2026'!G5</f>
        <v>1</v>
      </c>
      <c r="D5" s="2">
        <f>'2026'!K5</f>
        <v>1</v>
      </c>
      <c r="E5" s="3">
        <f>'2026'!L5</f>
        <v>1</v>
      </c>
      <c r="F5" s="2">
        <f>'2027'!F5</f>
        <v>1</v>
      </c>
      <c r="G5" s="3">
        <f>'2027'!G5</f>
        <v>1</v>
      </c>
      <c r="H5" s="2">
        <f>'2027'!K5</f>
        <v>1</v>
      </c>
      <c r="I5" s="3">
        <f>'2027'!L5</f>
        <v>1</v>
      </c>
      <c r="J5" s="2">
        <f>'2028'!F5</f>
        <v>1</v>
      </c>
      <c r="K5" s="3">
        <f>'2028'!G5</f>
        <v>1</v>
      </c>
      <c r="L5" s="2">
        <f>'2028'!K5</f>
        <v>1</v>
      </c>
      <c r="M5" s="3">
        <f>'2028'!L5</f>
        <v>1</v>
      </c>
      <c r="N5" s="2">
        <f>'2029'!F5</f>
        <v>1</v>
      </c>
      <c r="O5" s="3">
        <f>'2029'!G5</f>
        <v>1</v>
      </c>
      <c r="P5" s="2">
        <f>'2029'!K5</f>
        <v>1</v>
      </c>
      <c r="Q5" s="3">
        <f>'2029'!L5</f>
        <v>1</v>
      </c>
      <c r="R5" s="2">
        <f>'2030'!F5</f>
        <v>1</v>
      </c>
      <c r="S5" s="3">
        <f>'2030'!G5</f>
        <v>1</v>
      </c>
      <c r="T5" s="2">
        <f>'2030'!K5</f>
        <v>1</v>
      </c>
      <c r="U5" s="3">
        <f>'2030'!L5</f>
        <v>1</v>
      </c>
    </row>
    <row r="6" spans="1:21" x14ac:dyDescent="0.45">
      <c r="A6" t="str">
        <f>'2026'!A6</f>
        <v>Latvia</v>
      </c>
      <c r="B6" s="2">
        <f>'2026'!F6</f>
        <v>1</v>
      </c>
      <c r="C6" s="3">
        <f>'2026'!G6</f>
        <v>1</v>
      </c>
      <c r="D6" s="2">
        <f>'2026'!K6</f>
        <v>1</v>
      </c>
      <c r="E6" s="3">
        <f>'2026'!L6</f>
        <v>1</v>
      </c>
      <c r="F6" s="2">
        <f>'2027'!F6</f>
        <v>1</v>
      </c>
      <c r="G6" s="3">
        <f>'2027'!G6</f>
        <v>1</v>
      </c>
      <c r="H6" s="2">
        <f>'2027'!K6</f>
        <v>1</v>
      </c>
      <c r="I6" s="3">
        <f>'2027'!L6</f>
        <v>1</v>
      </c>
      <c r="J6" s="2">
        <f>'2028'!F6</f>
        <v>1</v>
      </c>
      <c r="K6" s="3">
        <f>'2028'!G6</f>
        <v>1</v>
      </c>
      <c r="L6" s="2">
        <f>'2028'!K6</f>
        <v>1</v>
      </c>
      <c r="M6" s="3">
        <f>'2028'!L6</f>
        <v>1</v>
      </c>
      <c r="N6" s="2">
        <f>'2029'!F6</f>
        <v>1</v>
      </c>
      <c r="O6" s="3">
        <f>'2029'!G6</f>
        <v>1</v>
      </c>
      <c r="P6" s="2">
        <f>'2029'!K6</f>
        <v>1</v>
      </c>
      <c r="Q6" s="3">
        <f>'2029'!L6</f>
        <v>1</v>
      </c>
      <c r="R6" s="2">
        <f>'2030'!F6</f>
        <v>1</v>
      </c>
      <c r="S6" s="3">
        <f>'2030'!G6</f>
        <v>1</v>
      </c>
      <c r="T6" s="2">
        <f>'2030'!K6</f>
        <v>1</v>
      </c>
      <c r="U6" s="3">
        <f>'2030'!L6</f>
        <v>1</v>
      </c>
    </row>
    <row r="7" spans="1:21" x14ac:dyDescent="0.45">
      <c r="A7" t="str">
        <f>'2026'!A7</f>
        <v>United States</v>
      </c>
      <c r="B7" s="2">
        <f>'2026'!F7</f>
        <v>0.94520000000000004</v>
      </c>
      <c r="C7" s="3">
        <f>'2026'!G7</f>
        <v>3</v>
      </c>
      <c r="D7" s="2">
        <f>'2026'!K7</f>
        <v>0.94520000000000004</v>
      </c>
      <c r="E7" s="3">
        <f>'2026'!L7</f>
        <v>4</v>
      </c>
      <c r="F7" s="2">
        <f>'2027'!F7</f>
        <v>0.94520000000000004</v>
      </c>
      <c r="G7" s="3">
        <f>'2027'!G7</f>
        <v>3</v>
      </c>
      <c r="H7" s="2">
        <f>'2027'!K7</f>
        <v>0.94520000000000004</v>
      </c>
      <c r="I7" s="3">
        <f>'2027'!L7</f>
        <v>3</v>
      </c>
      <c r="J7" s="2">
        <f>'2028'!F7</f>
        <v>0.94520000000000004</v>
      </c>
      <c r="K7" s="3">
        <f>'2028'!G7</f>
        <v>3</v>
      </c>
      <c r="L7" s="2">
        <f>'2028'!K7</f>
        <v>0.94520000000000004</v>
      </c>
      <c r="M7" s="3">
        <f>'2028'!L7</f>
        <v>3</v>
      </c>
      <c r="N7" s="2">
        <f>'2029'!F7</f>
        <v>0.6774</v>
      </c>
      <c r="O7" s="3">
        <f>'2029'!G7</f>
        <v>20</v>
      </c>
      <c r="P7" s="2">
        <f>'2029'!K7</f>
        <v>0.6774</v>
      </c>
      <c r="Q7" s="3">
        <f>'2029'!L7</f>
        <v>20</v>
      </c>
      <c r="R7" s="2">
        <f>'2030'!F7</f>
        <v>0.6774</v>
      </c>
      <c r="S7" s="3">
        <f>'2030'!G7</f>
        <v>20</v>
      </c>
      <c r="T7" s="2">
        <f>'2030'!K7</f>
        <v>0.6774</v>
      </c>
      <c r="U7" s="3">
        <f>'2030'!L7</f>
        <v>20</v>
      </c>
    </row>
    <row r="8" spans="1:21" x14ac:dyDescent="0.45">
      <c r="A8" t="str">
        <f>'2026'!A8</f>
        <v>Lithuania</v>
      </c>
      <c r="B8" s="2">
        <f>'2026'!F8</f>
        <v>0.92879999999999996</v>
      </c>
      <c r="C8" s="3">
        <f>'2026'!G8</f>
        <v>4</v>
      </c>
      <c r="D8" s="2">
        <f>'2026'!K8</f>
        <v>0.92879999999999996</v>
      </c>
      <c r="E8" s="3">
        <f>'2026'!L8</f>
        <v>5</v>
      </c>
      <c r="F8" s="2">
        <f>'2027'!F8</f>
        <v>0.92879999999999996</v>
      </c>
      <c r="G8" s="3">
        <f>'2027'!G8</f>
        <v>4</v>
      </c>
      <c r="H8" s="2">
        <f>'2027'!K8</f>
        <v>0.92879999999999996</v>
      </c>
      <c r="I8" s="3">
        <f>'2027'!L8</f>
        <v>4</v>
      </c>
      <c r="J8" s="2">
        <f>'2028'!F8</f>
        <v>0.92879999999999996</v>
      </c>
      <c r="K8" s="3">
        <f>'2028'!G8</f>
        <v>4</v>
      </c>
      <c r="L8" s="2">
        <f>'2028'!K8</f>
        <v>0.92879999999999996</v>
      </c>
      <c r="M8" s="3">
        <f>'2028'!L8</f>
        <v>4</v>
      </c>
      <c r="N8" s="2">
        <f>'2029'!F8</f>
        <v>0.92879999999999996</v>
      </c>
      <c r="O8" s="3">
        <f>'2029'!G8</f>
        <v>3</v>
      </c>
      <c r="P8" s="2">
        <f>'2029'!K8</f>
        <v>0.92879999999999996</v>
      </c>
      <c r="Q8" s="3">
        <f>'2029'!L8</f>
        <v>3</v>
      </c>
      <c r="R8" s="2">
        <f>'2030'!F8</f>
        <v>0.92879999999999996</v>
      </c>
      <c r="S8" s="3">
        <f>'2030'!G8</f>
        <v>3</v>
      </c>
      <c r="T8" s="2">
        <f>'2030'!K8</f>
        <v>0.92879999999999996</v>
      </c>
      <c r="U8" s="3">
        <f>'2030'!L8</f>
        <v>3</v>
      </c>
    </row>
    <row r="9" spans="1:21" x14ac:dyDescent="0.45">
      <c r="A9" t="str">
        <f>'2026'!A9</f>
        <v>Canada</v>
      </c>
      <c r="B9" s="2">
        <f>'2026'!F9</f>
        <v>0.85</v>
      </c>
      <c r="C9" s="3">
        <f>'2026'!G9</f>
        <v>5</v>
      </c>
      <c r="D9" s="2">
        <f>'2026'!K9</f>
        <v>1</v>
      </c>
      <c r="E9" s="3">
        <f>'2026'!L9</f>
        <v>1</v>
      </c>
      <c r="F9" s="2">
        <f>'2027'!F9</f>
        <v>0.76500000000000001</v>
      </c>
      <c r="G9" s="3">
        <f>'2027'!G9</f>
        <v>5</v>
      </c>
      <c r="H9" s="2">
        <f>'2027'!K9</f>
        <v>0.91490000000000005</v>
      </c>
      <c r="I9" s="3">
        <f>'2027'!L9</f>
        <v>5</v>
      </c>
      <c r="J9" s="2">
        <f>'2028'!F9</f>
        <v>0.76500000000000001</v>
      </c>
      <c r="K9" s="3">
        <f>'2028'!G9</f>
        <v>5</v>
      </c>
      <c r="L9" s="2">
        <f>'2028'!K9</f>
        <v>0.91490000000000005</v>
      </c>
      <c r="M9" s="3">
        <f>'2028'!L9</f>
        <v>5</v>
      </c>
      <c r="N9" s="2">
        <f>'2029'!F9</f>
        <v>0.76500000000000001</v>
      </c>
      <c r="O9" s="3">
        <f>'2029'!G9</f>
        <v>4</v>
      </c>
      <c r="P9" s="2">
        <f>'2029'!K9</f>
        <v>0.91490000000000005</v>
      </c>
      <c r="Q9" s="3">
        <f>'2029'!L9</f>
        <v>4</v>
      </c>
      <c r="R9" s="2">
        <f>'2030'!F9</f>
        <v>0.74619999999999997</v>
      </c>
      <c r="S9" s="3">
        <f>'2030'!G9</f>
        <v>7</v>
      </c>
      <c r="T9" s="2">
        <f>'2030'!K9</f>
        <v>0.91490000000000005</v>
      </c>
      <c r="U9" s="3">
        <f>'2030'!L9</f>
        <v>4</v>
      </c>
    </row>
    <row r="10" spans="1:21" x14ac:dyDescent="0.45">
      <c r="A10" t="str">
        <f>'2026'!A10</f>
        <v>Italy</v>
      </c>
      <c r="B10" s="2">
        <f>'2026'!F10</f>
        <v>0.76339999999999997</v>
      </c>
      <c r="C10" s="3">
        <f>'2026'!G10</f>
        <v>6</v>
      </c>
      <c r="D10" s="2">
        <f>'2026'!K10</f>
        <v>0.76339999999999997</v>
      </c>
      <c r="E10" s="3">
        <f>'2026'!L10</f>
        <v>6</v>
      </c>
      <c r="F10" s="2">
        <f>'2027'!F10</f>
        <v>0.76339999999999997</v>
      </c>
      <c r="G10" s="3">
        <f>'2027'!G10</f>
        <v>6</v>
      </c>
      <c r="H10" s="2">
        <f>'2027'!K10</f>
        <v>0.76339999999999997</v>
      </c>
      <c r="I10" s="3">
        <f>'2027'!L10</f>
        <v>6</v>
      </c>
      <c r="J10" s="2">
        <f>'2028'!F10</f>
        <v>0.76339999999999997</v>
      </c>
      <c r="K10" s="3">
        <f>'2028'!G10</f>
        <v>6</v>
      </c>
      <c r="L10" s="2">
        <f>'2028'!K10</f>
        <v>0.76339999999999997</v>
      </c>
      <c r="M10" s="3">
        <f>'2028'!L10</f>
        <v>6</v>
      </c>
      <c r="N10" s="2">
        <f>'2029'!F10</f>
        <v>0.76339999999999997</v>
      </c>
      <c r="O10" s="3">
        <f>'2029'!G10</f>
        <v>5</v>
      </c>
      <c r="P10" s="2">
        <f>'2029'!K10</f>
        <v>0.76339999999999997</v>
      </c>
      <c r="Q10" s="3">
        <f>'2029'!L10</f>
        <v>5</v>
      </c>
      <c r="R10" s="2">
        <f>'2030'!F10</f>
        <v>0.76339999999999997</v>
      </c>
      <c r="S10" s="3">
        <f>'2030'!G10</f>
        <v>4</v>
      </c>
      <c r="T10" s="2">
        <f>'2030'!K10</f>
        <v>0.76339999999999997</v>
      </c>
      <c r="U10" s="3">
        <f>'2030'!L10</f>
        <v>5</v>
      </c>
    </row>
    <row r="11" spans="1:21" x14ac:dyDescent="0.45">
      <c r="A11" t="str">
        <f>'2026'!A11</f>
        <v>Korea</v>
      </c>
      <c r="B11" s="2">
        <f>'2026'!F11</f>
        <v>0.75170000000000003</v>
      </c>
      <c r="C11" s="3">
        <f>'2026'!G11</f>
        <v>7</v>
      </c>
      <c r="D11" s="2">
        <f>'2026'!K11</f>
        <v>0.75170000000000003</v>
      </c>
      <c r="E11" s="3">
        <f>'2026'!L11</f>
        <v>7</v>
      </c>
      <c r="F11" s="2">
        <f>'2027'!F11</f>
        <v>0.75170000000000003</v>
      </c>
      <c r="G11" s="3">
        <f>'2027'!G11</f>
        <v>7</v>
      </c>
      <c r="H11" s="2">
        <f>'2027'!K11</f>
        <v>0.75170000000000003</v>
      </c>
      <c r="I11" s="3">
        <f>'2027'!L11</f>
        <v>7</v>
      </c>
      <c r="J11" s="2">
        <f>'2028'!F11</f>
        <v>0.75170000000000003</v>
      </c>
      <c r="K11" s="3">
        <f>'2028'!G11</f>
        <v>7</v>
      </c>
      <c r="L11" s="2">
        <f>'2028'!K11</f>
        <v>0.75170000000000003</v>
      </c>
      <c r="M11" s="3">
        <f>'2028'!L11</f>
        <v>7</v>
      </c>
      <c r="N11" s="2">
        <f>'2029'!F11</f>
        <v>0.75170000000000003</v>
      </c>
      <c r="O11" s="3">
        <f>'2029'!G11</f>
        <v>6</v>
      </c>
      <c r="P11" s="2">
        <f>'2029'!K11</f>
        <v>0.75170000000000003</v>
      </c>
      <c r="Q11" s="3">
        <f>'2029'!L11</f>
        <v>6</v>
      </c>
      <c r="R11" s="2">
        <f>'2030'!F11</f>
        <v>0.75170000000000003</v>
      </c>
      <c r="S11" s="3">
        <f>'2030'!G11</f>
        <v>5</v>
      </c>
      <c r="T11" s="2">
        <f>'2030'!K11</f>
        <v>0.75170000000000003</v>
      </c>
      <c r="U11" s="3">
        <f>'2030'!L11</f>
        <v>6</v>
      </c>
    </row>
    <row r="12" spans="1:21" x14ac:dyDescent="0.45">
      <c r="A12" t="str">
        <f>'2026'!A12</f>
        <v>Iceland</v>
      </c>
      <c r="B12" s="2">
        <f>'2026'!F12</f>
        <v>0.74680000000000002</v>
      </c>
      <c r="C12" s="3">
        <f>'2026'!G12</f>
        <v>8</v>
      </c>
      <c r="D12" s="2">
        <f>'2026'!K12</f>
        <v>0.74680000000000002</v>
      </c>
      <c r="E12" s="3">
        <f>'2026'!L12</f>
        <v>8</v>
      </c>
      <c r="F12" s="2">
        <f>'2027'!F12</f>
        <v>0.74680000000000002</v>
      </c>
      <c r="G12" s="3">
        <f>'2027'!G12</f>
        <v>8</v>
      </c>
      <c r="H12" s="2">
        <f>'2027'!K12</f>
        <v>0.74680000000000002</v>
      </c>
      <c r="I12" s="3">
        <f>'2027'!L12</f>
        <v>8</v>
      </c>
      <c r="J12" s="2">
        <f>'2028'!F12</f>
        <v>0.74680000000000002</v>
      </c>
      <c r="K12" s="3">
        <f>'2028'!G12</f>
        <v>8</v>
      </c>
      <c r="L12" s="2">
        <f>'2028'!K12</f>
        <v>0.74680000000000002</v>
      </c>
      <c r="M12" s="3">
        <f>'2028'!L12</f>
        <v>8</v>
      </c>
      <c r="N12" s="2">
        <f>'2029'!F12</f>
        <v>0.74680000000000002</v>
      </c>
      <c r="O12" s="3">
        <f>'2029'!G12</f>
        <v>7</v>
      </c>
      <c r="P12" s="2">
        <f>'2029'!K12</f>
        <v>0.74680000000000002</v>
      </c>
      <c r="Q12" s="3">
        <f>'2029'!L12</f>
        <v>7</v>
      </c>
      <c r="R12" s="2">
        <f>'2030'!F12</f>
        <v>0.74680000000000002</v>
      </c>
      <c r="S12" s="3">
        <f>'2030'!G12</f>
        <v>6</v>
      </c>
      <c r="T12" s="2">
        <f>'2030'!K12</f>
        <v>0.74680000000000002</v>
      </c>
      <c r="U12" s="3">
        <f>'2030'!L12</f>
        <v>7</v>
      </c>
    </row>
    <row r="13" spans="1:21" x14ac:dyDescent="0.45">
      <c r="A13" t="str">
        <f>'2026'!A13</f>
        <v>France</v>
      </c>
      <c r="B13" s="2">
        <f>'2026'!F13</f>
        <v>0.7419</v>
      </c>
      <c r="C13" s="3">
        <f>'2026'!G13</f>
        <v>9</v>
      </c>
      <c r="D13" s="2">
        <f>'2026'!K13</f>
        <v>0.7419</v>
      </c>
      <c r="E13" s="3">
        <f>'2026'!L13</f>
        <v>9</v>
      </c>
      <c r="F13" s="2">
        <f>'2027'!F13</f>
        <v>0.7419</v>
      </c>
      <c r="G13" s="3">
        <f>'2027'!G13</f>
        <v>9</v>
      </c>
      <c r="H13" s="2">
        <f>'2027'!K13</f>
        <v>0.7419</v>
      </c>
      <c r="I13" s="3">
        <f>'2027'!L13</f>
        <v>9</v>
      </c>
      <c r="J13" s="2">
        <f>'2028'!F13</f>
        <v>0.7419</v>
      </c>
      <c r="K13" s="3">
        <f>'2028'!G13</f>
        <v>9</v>
      </c>
      <c r="L13" s="2">
        <f>'2028'!K13</f>
        <v>0.7419</v>
      </c>
      <c r="M13" s="3">
        <f>'2028'!L13</f>
        <v>9</v>
      </c>
      <c r="N13" s="2">
        <f>'2029'!F13</f>
        <v>0.7419</v>
      </c>
      <c r="O13" s="3">
        <f>'2029'!G13</f>
        <v>8</v>
      </c>
      <c r="P13" s="2">
        <f>'2029'!K13</f>
        <v>0.7419</v>
      </c>
      <c r="Q13" s="3">
        <f>'2029'!L13</f>
        <v>8</v>
      </c>
      <c r="R13" s="2">
        <f>'2030'!F13</f>
        <v>0.7419</v>
      </c>
      <c r="S13" s="3">
        <f>'2030'!G13</f>
        <v>8</v>
      </c>
      <c r="T13" s="2">
        <f>'2030'!K13</f>
        <v>0.7419</v>
      </c>
      <c r="U13" s="3">
        <f>'2030'!L13</f>
        <v>8</v>
      </c>
    </row>
    <row r="14" spans="1:21" x14ac:dyDescent="0.45">
      <c r="A14" t="str">
        <f>'2026'!A14</f>
        <v>Switzerland</v>
      </c>
      <c r="B14" s="2">
        <f>'2026'!F14</f>
        <v>0.74109999999999998</v>
      </c>
      <c r="C14" s="3">
        <f>'2026'!G14</f>
        <v>10</v>
      </c>
      <c r="D14" s="2">
        <f>'2026'!K14</f>
        <v>0.74109999999999998</v>
      </c>
      <c r="E14" s="3">
        <f>'2026'!L14</f>
        <v>10</v>
      </c>
      <c r="F14" s="2">
        <f>'2027'!F14</f>
        <v>0.74109999999999998</v>
      </c>
      <c r="G14" s="3">
        <f>'2027'!G14</f>
        <v>10</v>
      </c>
      <c r="H14" s="2">
        <f>'2027'!K14</f>
        <v>0.74109999999999998</v>
      </c>
      <c r="I14" s="3">
        <f>'2027'!L14</f>
        <v>10</v>
      </c>
      <c r="J14" s="2">
        <f>'2028'!F14</f>
        <v>0.74109999999999998</v>
      </c>
      <c r="K14" s="3">
        <f>'2028'!G14</f>
        <v>10</v>
      </c>
      <c r="L14" s="2">
        <f>'2028'!K14</f>
        <v>0.74109999999999998</v>
      </c>
      <c r="M14" s="3">
        <f>'2028'!L14</f>
        <v>10</v>
      </c>
      <c r="N14" s="2">
        <f>'2029'!F14</f>
        <v>0.74109999999999998</v>
      </c>
      <c r="O14" s="3">
        <f>'2029'!G14</f>
        <v>9</v>
      </c>
      <c r="P14" s="2">
        <f>'2029'!K14</f>
        <v>0.74109999999999998</v>
      </c>
      <c r="Q14" s="3">
        <f>'2029'!L14</f>
        <v>9</v>
      </c>
      <c r="R14" s="2">
        <f>'2030'!F14</f>
        <v>0.74109999999999998</v>
      </c>
      <c r="S14" s="3">
        <f>'2030'!G14</f>
        <v>9</v>
      </c>
      <c r="T14" s="2">
        <f>'2030'!K14</f>
        <v>0.74109999999999998</v>
      </c>
      <c r="U14" s="3">
        <f>'2030'!L14</f>
        <v>9</v>
      </c>
    </row>
    <row r="15" spans="1:21" x14ac:dyDescent="0.45">
      <c r="A15" t="str">
        <f>'2026'!A15</f>
        <v>Slovakia</v>
      </c>
      <c r="B15" s="2">
        <f>'2026'!F15</f>
        <v>0.73909999999999998</v>
      </c>
      <c r="C15" s="3">
        <f>'2026'!G15</f>
        <v>11</v>
      </c>
      <c r="D15" s="2">
        <f>'2026'!K15</f>
        <v>0.73909999999999998</v>
      </c>
      <c r="E15" s="3">
        <f>'2026'!L15</f>
        <v>11</v>
      </c>
      <c r="F15" s="2">
        <f>'2027'!F15</f>
        <v>0.73909999999999998</v>
      </c>
      <c r="G15" s="3">
        <f>'2027'!G15</f>
        <v>11</v>
      </c>
      <c r="H15" s="2">
        <f>'2027'!K15</f>
        <v>0.73909999999999998</v>
      </c>
      <c r="I15" s="3">
        <f>'2027'!L15</f>
        <v>11</v>
      </c>
      <c r="J15" s="2">
        <f>'2028'!F15</f>
        <v>0.73909999999999998</v>
      </c>
      <c r="K15" s="3">
        <f>'2028'!G15</f>
        <v>11</v>
      </c>
      <c r="L15" s="2">
        <f>'2028'!K15</f>
        <v>0.73909999999999998</v>
      </c>
      <c r="M15" s="3">
        <f>'2028'!L15</f>
        <v>11</v>
      </c>
      <c r="N15" s="2">
        <f>'2029'!F15</f>
        <v>0.73909999999999998</v>
      </c>
      <c r="O15" s="3">
        <f>'2029'!G15</f>
        <v>10</v>
      </c>
      <c r="P15" s="2">
        <f>'2029'!K15</f>
        <v>0.73909999999999998</v>
      </c>
      <c r="Q15" s="3">
        <f>'2029'!L15</f>
        <v>10</v>
      </c>
      <c r="R15" s="2">
        <f>'2030'!F15</f>
        <v>0.73909999999999998</v>
      </c>
      <c r="S15" s="3">
        <f>'2030'!G15</f>
        <v>10</v>
      </c>
      <c r="T15" s="2">
        <f>'2030'!K15</f>
        <v>0.73909999999999998</v>
      </c>
      <c r="U15" s="3">
        <f>'2030'!L15</f>
        <v>10</v>
      </c>
    </row>
    <row r="16" spans="1:21" x14ac:dyDescent="0.45">
      <c r="A16" t="str">
        <f>'2026'!A16</f>
        <v>Belgium</v>
      </c>
      <c r="B16" s="2">
        <f>'2026'!F16</f>
        <v>0.73729999999999996</v>
      </c>
      <c r="C16" s="3">
        <f>'2026'!G16</f>
        <v>12</v>
      </c>
      <c r="D16" s="2">
        <f>'2026'!K16</f>
        <v>0.73729999999999996</v>
      </c>
      <c r="E16" s="3">
        <f>'2026'!L16</f>
        <v>12</v>
      </c>
      <c r="F16" s="2">
        <f>'2027'!F16</f>
        <v>0.73729999999999996</v>
      </c>
      <c r="G16" s="3">
        <f>'2027'!G16</f>
        <v>12</v>
      </c>
      <c r="H16" s="2">
        <f>'2027'!K16</f>
        <v>0.73729999999999996</v>
      </c>
      <c r="I16" s="3">
        <f>'2027'!L16</f>
        <v>12</v>
      </c>
      <c r="J16" s="2">
        <f>'2028'!F16</f>
        <v>0.73729999999999996</v>
      </c>
      <c r="K16" s="3">
        <f>'2028'!G16</f>
        <v>12</v>
      </c>
      <c r="L16" s="2">
        <f>'2028'!K16</f>
        <v>0.73729999999999996</v>
      </c>
      <c r="M16" s="3">
        <f>'2028'!L16</f>
        <v>12</v>
      </c>
      <c r="N16" s="2">
        <f>'2029'!F16</f>
        <v>0.73729999999999996</v>
      </c>
      <c r="O16" s="3">
        <f>'2029'!G16</f>
        <v>11</v>
      </c>
      <c r="P16" s="2">
        <f>'2029'!K16</f>
        <v>0.73729999999999996</v>
      </c>
      <c r="Q16" s="3">
        <f>'2029'!L16</f>
        <v>11</v>
      </c>
      <c r="R16" s="2">
        <f>'2030'!F16</f>
        <v>0.73729999999999996</v>
      </c>
      <c r="S16" s="3">
        <f>'2030'!G16</f>
        <v>11</v>
      </c>
      <c r="T16" s="2">
        <f>'2030'!K16</f>
        <v>0.73729999999999996</v>
      </c>
      <c r="U16" s="3">
        <f>'2030'!L16</f>
        <v>11</v>
      </c>
    </row>
    <row r="17" spans="1:21" x14ac:dyDescent="0.45">
      <c r="A17" t="str">
        <f>'2026'!A17</f>
        <v>Czech Republic</v>
      </c>
      <c r="B17" s="2">
        <f>'2026'!F17</f>
        <v>0.7329</v>
      </c>
      <c r="C17" s="3">
        <f>'2026'!G17</f>
        <v>13</v>
      </c>
      <c r="D17" s="2">
        <f>'2026'!K17</f>
        <v>0.7329</v>
      </c>
      <c r="E17" s="3">
        <f>'2026'!L17</f>
        <v>13</v>
      </c>
      <c r="F17" s="2">
        <f>'2027'!F17</f>
        <v>0.7329</v>
      </c>
      <c r="G17" s="3">
        <f>'2027'!G17</f>
        <v>13</v>
      </c>
      <c r="H17" s="2">
        <f>'2027'!K17</f>
        <v>0.7329</v>
      </c>
      <c r="I17" s="3">
        <f>'2027'!L17</f>
        <v>13</v>
      </c>
      <c r="J17" s="2">
        <f>'2028'!F17</f>
        <v>0.7329</v>
      </c>
      <c r="K17" s="3">
        <f>'2028'!G17</f>
        <v>13</v>
      </c>
      <c r="L17" s="2">
        <f>'2028'!K17</f>
        <v>0.7329</v>
      </c>
      <c r="M17" s="3">
        <f>'2028'!L17</f>
        <v>13</v>
      </c>
      <c r="N17" s="2">
        <f>'2029'!F17</f>
        <v>0.7329</v>
      </c>
      <c r="O17" s="3">
        <f>'2029'!G17</f>
        <v>12</v>
      </c>
      <c r="P17" s="2">
        <f>'2029'!K17</f>
        <v>0.7329</v>
      </c>
      <c r="Q17" s="3">
        <f>'2029'!L17</f>
        <v>12</v>
      </c>
      <c r="R17" s="2">
        <f>'2030'!F17</f>
        <v>0.7329</v>
      </c>
      <c r="S17" s="3">
        <f>'2030'!G17</f>
        <v>12</v>
      </c>
      <c r="T17" s="2">
        <f>'2030'!K17</f>
        <v>0.7329</v>
      </c>
      <c r="U17" s="3">
        <f>'2030'!L17</f>
        <v>12</v>
      </c>
    </row>
    <row r="18" spans="1:21" x14ac:dyDescent="0.45">
      <c r="A18" t="str">
        <f>'2026'!A18</f>
        <v>Mexico</v>
      </c>
      <c r="B18" s="2">
        <f>'2026'!F18</f>
        <v>0.72740000000000005</v>
      </c>
      <c r="C18" s="3">
        <f>'2026'!G18</f>
        <v>14</v>
      </c>
      <c r="D18" s="2">
        <f>'2026'!K18</f>
        <v>0.72740000000000005</v>
      </c>
      <c r="E18" s="3">
        <f>'2026'!L18</f>
        <v>14</v>
      </c>
      <c r="F18" s="2">
        <f>'2027'!F18</f>
        <v>0.72740000000000005</v>
      </c>
      <c r="G18" s="3">
        <f>'2027'!G18</f>
        <v>14</v>
      </c>
      <c r="H18" s="2">
        <f>'2027'!K18</f>
        <v>0.72740000000000005</v>
      </c>
      <c r="I18" s="3">
        <f>'2027'!L18</f>
        <v>14</v>
      </c>
      <c r="J18" s="2">
        <f>'2028'!F18</f>
        <v>0.72740000000000005</v>
      </c>
      <c r="K18" s="3">
        <f>'2028'!G18</f>
        <v>14</v>
      </c>
      <c r="L18" s="2">
        <f>'2028'!K18</f>
        <v>0.72740000000000005</v>
      </c>
      <c r="M18" s="3">
        <f>'2028'!L18</f>
        <v>14</v>
      </c>
      <c r="N18" s="2">
        <f>'2029'!F18</f>
        <v>0.72740000000000005</v>
      </c>
      <c r="O18" s="3">
        <f>'2029'!G18</f>
        <v>13</v>
      </c>
      <c r="P18" s="2">
        <f>'2029'!K18</f>
        <v>0.72740000000000005</v>
      </c>
      <c r="Q18" s="3">
        <f>'2029'!L18</f>
        <v>13</v>
      </c>
      <c r="R18" s="2">
        <f>'2030'!F18</f>
        <v>0.72740000000000005</v>
      </c>
      <c r="S18" s="3">
        <f>'2030'!G18</f>
        <v>13</v>
      </c>
      <c r="T18" s="2">
        <f>'2030'!K18</f>
        <v>0.72740000000000005</v>
      </c>
      <c r="U18" s="3">
        <f>'2030'!L18</f>
        <v>13</v>
      </c>
    </row>
    <row r="19" spans="1:21" x14ac:dyDescent="0.45">
      <c r="A19" t="str">
        <f>'2026'!A19</f>
        <v>United Kingdom</v>
      </c>
      <c r="B19" s="2">
        <f>'2026'!F19</f>
        <v>0.72360000000000002</v>
      </c>
      <c r="C19" s="3">
        <f>'2026'!G19</f>
        <v>15</v>
      </c>
      <c r="D19" s="2">
        <f>'2026'!K19</f>
        <v>0.72360000000000002</v>
      </c>
      <c r="E19" s="3">
        <f>'2026'!L19</f>
        <v>15</v>
      </c>
      <c r="F19" s="2">
        <f>'2027'!F19</f>
        <v>0.72360000000000002</v>
      </c>
      <c r="G19" s="3">
        <f>'2027'!G19</f>
        <v>15</v>
      </c>
      <c r="H19" s="2">
        <f>'2027'!K19</f>
        <v>0.72360000000000002</v>
      </c>
      <c r="I19" s="3">
        <f>'2027'!L19</f>
        <v>15</v>
      </c>
      <c r="J19" s="2">
        <f>'2028'!F19</f>
        <v>0.72360000000000002</v>
      </c>
      <c r="K19" s="3">
        <f>'2028'!G19</f>
        <v>15</v>
      </c>
      <c r="L19" s="2">
        <f>'2028'!K19</f>
        <v>0.72360000000000002</v>
      </c>
      <c r="M19" s="3">
        <f>'2028'!L19</f>
        <v>15</v>
      </c>
      <c r="N19" s="2">
        <f>'2029'!F19</f>
        <v>0.72360000000000002</v>
      </c>
      <c r="O19" s="3">
        <f>'2029'!G19</f>
        <v>14</v>
      </c>
      <c r="P19" s="2">
        <f>'2029'!K19</f>
        <v>0.72360000000000002</v>
      </c>
      <c r="Q19" s="3">
        <f>'2029'!L19</f>
        <v>14</v>
      </c>
      <c r="R19" s="2">
        <f>'2030'!F19</f>
        <v>0.72360000000000002</v>
      </c>
      <c r="S19" s="3">
        <f>'2030'!G19</f>
        <v>14</v>
      </c>
      <c r="T19" s="2">
        <f>'2030'!K19</f>
        <v>0.72360000000000002</v>
      </c>
      <c r="U19" s="3">
        <f>'2030'!L19</f>
        <v>14</v>
      </c>
    </row>
    <row r="20" spans="1:21" x14ac:dyDescent="0.45">
      <c r="A20" t="str">
        <f>'2026'!A20</f>
        <v>Israel</v>
      </c>
      <c r="B20" s="2">
        <f>'2026'!F20</f>
        <v>0.71740000000000004</v>
      </c>
      <c r="C20" s="3">
        <f>'2026'!G20</f>
        <v>16</v>
      </c>
      <c r="D20" s="2">
        <f>'2026'!K20</f>
        <v>0.71740000000000004</v>
      </c>
      <c r="E20" s="3">
        <f>'2026'!L20</f>
        <v>16</v>
      </c>
      <c r="F20" s="2">
        <f>'2027'!F20</f>
        <v>0.71740000000000004</v>
      </c>
      <c r="G20" s="3">
        <f>'2027'!G20</f>
        <v>16</v>
      </c>
      <c r="H20" s="2">
        <f>'2027'!K20</f>
        <v>0.71740000000000004</v>
      </c>
      <c r="I20" s="3">
        <f>'2027'!L20</f>
        <v>16</v>
      </c>
      <c r="J20" s="2">
        <f>'2028'!F20</f>
        <v>0.71740000000000004</v>
      </c>
      <c r="K20" s="3">
        <f>'2028'!G20</f>
        <v>16</v>
      </c>
      <c r="L20" s="2">
        <f>'2028'!K20</f>
        <v>0.71740000000000004</v>
      </c>
      <c r="M20" s="3">
        <f>'2028'!L20</f>
        <v>16</v>
      </c>
      <c r="N20" s="2">
        <f>'2029'!F20</f>
        <v>0.71740000000000004</v>
      </c>
      <c r="O20" s="3">
        <f>'2029'!G20</f>
        <v>15</v>
      </c>
      <c r="P20" s="2">
        <f>'2029'!K20</f>
        <v>0.71740000000000004</v>
      </c>
      <c r="Q20" s="3">
        <f>'2029'!L20</f>
        <v>15</v>
      </c>
      <c r="R20" s="2">
        <f>'2030'!F20</f>
        <v>0.71740000000000004</v>
      </c>
      <c r="S20" s="3">
        <f>'2030'!G20</f>
        <v>15</v>
      </c>
      <c r="T20" s="2">
        <f>'2030'!K20</f>
        <v>0.71740000000000004</v>
      </c>
      <c r="U20" s="3">
        <f>'2030'!L20</f>
        <v>15</v>
      </c>
    </row>
    <row r="21" spans="1:21" x14ac:dyDescent="0.45">
      <c r="A21" t="str">
        <f>'2026'!A21</f>
        <v>Luxembourg</v>
      </c>
      <c r="B21" s="2">
        <f>'2026'!F21</f>
        <v>0.7107</v>
      </c>
      <c r="C21" s="3">
        <f>'2026'!G21</f>
        <v>17</v>
      </c>
      <c r="D21" s="2">
        <f>'2026'!K21</f>
        <v>0.7107</v>
      </c>
      <c r="E21" s="3">
        <f>'2026'!L21</f>
        <v>17</v>
      </c>
      <c r="F21" s="2">
        <f>'2027'!F21</f>
        <v>0.7107</v>
      </c>
      <c r="G21" s="3">
        <f>'2027'!G21</f>
        <v>17</v>
      </c>
      <c r="H21" s="2">
        <f>'2027'!K21</f>
        <v>0.7107</v>
      </c>
      <c r="I21" s="3">
        <f>'2027'!L21</f>
        <v>17</v>
      </c>
      <c r="J21" s="2">
        <f>'2028'!F21</f>
        <v>0.7107</v>
      </c>
      <c r="K21" s="3">
        <f>'2028'!G21</f>
        <v>17</v>
      </c>
      <c r="L21" s="2">
        <f>'2028'!K21</f>
        <v>0.7107</v>
      </c>
      <c r="M21" s="3">
        <f>'2028'!L21</f>
        <v>17</v>
      </c>
      <c r="N21" s="2">
        <f>'2029'!F21</f>
        <v>0.7107</v>
      </c>
      <c r="O21" s="3">
        <f>'2029'!G21</f>
        <v>16</v>
      </c>
      <c r="P21" s="2">
        <f>'2029'!K21</f>
        <v>0.7107</v>
      </c>
      <c r="Q21" s="3">
        <f>'2029'!L21</f>
        <v>16</v>
      </c>
      <c r="R21" s="2">
        <f>'2030'!F21</f>
        <v>0.7107</v>
      </c>
      <c r="S21" s="3">
        <f>'2030'!G21</f>
        <v>16</v>
      </c>
      <c r="T21" s="2">
        <f>'2030'!K21</f>
        <v>0.7107</v>
      </c>
      <c r="U21" s="3">
        <f>'2030'!L21</f>
        <v>16</v>
      </c>
    </row>
    <row r="22" spans="1:21" x14ac:dyDescent="0.45">
      <c r="A22" t="str">
        <f>'2026'!A22</f>
        <v>Sweden</v>
      </c>
      <c r="B22" s="2">
        <f>'2026'!F22</f>
        <v>0.70330000000000004</v>
      </c>
      <c r="C22" s="3">
        <f>'2026'!G22</f>
        <v>18</v>
      </c>
      <c r="D22" s="2">
        <f>'2026'!K22</f>
        <v>0.70330000000000004</v>
      </c>
      <c r="E22" s="3">
        <f>'2026'!L22</f>
        <v>18</v>
      </c>
      <c r="F22" s="2">
        <f>'2027'!F22</f>
        <v>0.70330000000000004</v>
      </c>
      <c r="G22" s="3">
        <f>'2027'!G22</f>
        <v>18</v>
      </c>
      <c r="H22" s="2">
        <f>'2027'!K22</f>
        <v>0.70330000000000004</v>
      </c>
      <c r="I22" s="3">
        <f>'2027'!L22</f>
        <v>18</v>
      </c>
      <c r="J22" s="2">
        <f>'2028'!F22</f>
        <v>0.70330000000000004</v>
      </c>
      <c r="K22" s="3">
        <f>'2028'!G22</f>
        <v>18</v>
      </c>
      <c r="L22" s="2">
        <f>'2028'!K22</f>
        <v>0.70330000000000004</v>
      </c>
      <c r="M22" s="3">
        <f>'2028'!L22</f>
        <v>18</v>
      </c>
      <c r="N22" s="2">
        <f>'2029'!F22</f>
        <v>0.70330000000000004</v>
      </c>
      <c r="O22" s="3">
        <f>'2029'!G22</f>
        <v>17</v>
      </c>
      <c r="P22" s="2">
        <f>'2029'!K22</f>
        <v>0.70330000000000004</v>
      </c>
      <c r="Q22" s="3">
        <f>'2029'!L22</f>
        <v>17</v>
      </c>
      <c r="R22" s="2">
        <f>'2030'!F22</f>
        <v>0.70330000000000004</v>
      </c>
      <c r="S22" s="3">
        <f>'2030'!G22</f>
        <v>17</v>
      </c>
      <c r="T22" s="2">
        <f>'2030'!K22</f>
        <v>0.70330000000000004</v>
      </c>
      <c r="U22" s="3">
        <f>'2030'!L22</f>
        <v>17</v>
      </c>
    </row>
    <row r="23" spans="1:21" x14ac:dyDescent="0.45">
      <c r="A23" t="str">
        <f>'2026'!A23</f>
        <v>Portugal</v>
      </c>
      <c r="B23" s="2">
        <f>'2026'!F23</f>
        <v>0.69750000000000001</v>
      </c>
      <c r="C23" s="3">
        <f>'2026'!G23</f>
        <v>19</v>
      </c>
      <c r="D23" s="2">
        <f>'2026'!K23</f>
        <v>0.69750000000000001</v>
      </c>
      <c r="E23" s="3">
        <f>'2026'!L23</f>
        <v>19</v>
      </c>
      <c r="F23" s="2">
        <f>'2027'!F23</f>
        <v>0.69750000000000001</v>
      </c>
      <c r="G23" s="3">
        <f>'2027'!G23</f>
        <v>19</v>
      </c>
      <c r="H23" s="2">
        <f>'2027'!K23</f>
        <v>0.69750000000000001</v>
      </c>
      <c r="I23" s="3">
        <f>'2027'!L23</f>
        <v>19</v>
      </c>
      <c r="J23" s="2">
        <f>'2028'!F23</f>
        <v>0.69750000000000001</v>
      </c>
      <c r="K23" s="3">
        <f>'2028'!G23</f>
        <v>19</v>
      </c>
      <c r="L23" s="2">
        <f>'2028'!K23</f>
        <v>0.69750000000000001</v>
      </c>
      <c r="M23" s="3">
        <f>'2028'!L23</f>
        <v>19</v>
      </c>
      <c r="N23" s="2">
        <f>'2029'!F23</f>
        <v>0.69750000000000001</v>
      </c>
      <c r="O23" s="3">
        <f>'2029'!G23</f>
        <v>18</v>
      </c>
      <c r="P23" s="2">
        <f>'2029'!K23</f>
        <v>0.69750000000000001</v>
      </c>
      <c r="Q23" s="3">
        <f>'2029'!L23</f>
        <v>18</v>
      </c>
      <c r="R23" s="2">
        <f>'2030'!F23</f>
        <v>0.69750000000000001</v>
      </c>
      <c r="S23" s="3">
        <f>'2030'!G23</f>
        <v>18</v>
      </c>
      <c r="T23" s="2">
        <f>'2030'!K23</f>
        <v>0.69750000000000001</v>
      </c>
      <c r="U23" s="3">
        <f>'2030'!L23</f>
        <v>18</v>
      </c>
    </row>
    <row r="24" spans="1:21" x14ac:dyDescent="0.45">
      <c r="A24" t="str">
        <f>'2026'!A24</f>
        <v>Finland</v>
      </c>
      <c r="B24" s="2">
        <f>'2026'!F24</f>
        <v>0.68689999999999996</v>
      </c>
      <c r="C24" s="3">
        <f>'2026'!G24</f>
        <v>20</v>
      </c>
      <c r="D24" s="2">
        <f>'2026'!K24</f>
        <v>0.68689999999999996</v>
      </c>
      <c r="E24" s="3">
        <f>'2026'!L24</f>
        <v>20</v>
      </c>
      <c r="F24" s="2">
        <f>'2027'!F24</f>
        <v>0.68689999999999996</v>
      </c>
      <c r="G24" s="3">
        <f>'2027'!G24</f>
        <v>20</v>
      </c>
      <c r="H24" s="2">
        <f>'2027'!K24</f>
        <v>0.68689999999999996</v>
      </c>
      <c r="I24" s="3">
        <f>'2027'!L24</f>
        <v>20</v>
      </c>
      <c r="J24" s="2">
        <f>'2028'!F24</f>
        <v>0.68689999999999996</v>
      </c>
      <c r="K24" s="3">
        <f>'2028'!G24</f>
        <v>20</v>
      </c>
      <c r="L24" s="2">
        <f>'2028'!K24</f>
        <v>0.68689999999999996</v>
      </c>
      <c r="M24" s="3">
        <f>'2028'!L24</f>
        <v>20</v>
      </c>
      <c r="N24" s="2">
        <f>'2029'!F24</f>
        <v>0.68689999999999996</v>
      </c>
      <c r="O24" s="3">
        <f>'2029'!G24</f>
        <v>19</v>
      </c>
      <c r="P24" s="2">
        <f>'2029'!K24</f>
        <v>0.68689999999999996</v>
      </c>
      <c r="Q24" s="3">
        <f>'2029'!L24</f>
        <v>19</v>
      </c>
      <c r="R24" s="2">
        <f>'2030'!F24</f>
        <v>0.68689999999999996</v>
      </c>
      <c r="S24" s="3">
        <f>'2030'!G24</f>
        <v>19</v>
      </c>
      <c r="T24" s="2">
        <f>'2030'!K24</f>
        <v>0.68689999999999996</v>
      </c>
      <c r="U24" s="3">
        <f>'2030'!L24</f>
        <v>19</v>
      </c>
    </row>
    <row r="25" spans="1:21" x14ac:dyDescent="0.45">
      <c r="A25" t="str">
        <f>'2026'!A25</f>
        <v>Germany</v>
      </c>
      <c r="B25" s="2">
        <f>'2026'!F25</f>
        <v>0.67579999999999996</v>
      </c>
      <c r="C25" s="3">
        <f>'2026'!G25</f>
        <v>21</v>
      </c>
      <c r="D25" s="2">
        <f>'2026'!K25</f>
        <v>0.67579999999999996</v>
      </c>
      <c r="E25" s="3">
        <f>'2026'!L25</f>
        <v>21</v>
      </c>
      <c r="F25" s="2">
        <f>'2027'!F25</f>
        <v>0.67579999999999996</v>
      </c>
      <c r="G25" s="3">
        <f>'2027'!G25</f>
        <v>21</v>
      </c>
      <c r="H25" s="2">
        <f>'2027'!K25</f>
        <v>0.67579999999999996</v>
      </c>
      <c r="I25" s="3">
        <f>'2027'!L25</f>
        <v>21</v>
      </c>
      <c r="J25" s="2">
        <f>'2028'!F25</f>
        <v>0.6149</v>
      </c>
      <c r="K25" s="3">
        <f>'2028'!G25</f>
        <v>29</v>
      </c>
      <c r="L25" s="2">
        <f>'2028'!K25</f>
        <v>0.6149</v>
      </c>
      <c r="M25" s="3">
        <f>'2028'!L25</f>
        <v>29</v>
      </c>
      <c r="N25" s="2">
        <f>'2029'!F25</f>
        <v>0.6149</v>
      </c>
      <c r="O25" s="3">
        <f>'2029'!G25</f>
        <v>29</v>
      </c>
      <c r="P25" s="2">
        <f>'2029'!K25</f>
        <v>0.6149</v>
      </c>
      <c r="Q25" s="3">
        <f>'2029'!L25</f>
        <v>29</v>
      </c>
      <c r="R25" s="2">
        <f>'2030'!F25</f>
        <v>0.6149</v>
      </c>
      <c r="S25" s="3">
        <f>'2030'!G25</f>
        <v>29</v>
      </c>
      <c r="T25" s="2">
        <f>'2030'!K25</f>
        <v>0.6149</v>
      </c>
      <c r="U25" s="3">
        <f>'2030'!L25</f>
        <v>29</v>
      </c>
    </row>
    <row r="26" spans="1:21" x14ac:dyDescent="0.45">
      <c r="A26" t="str">
        <f>'2026'!A26</f>
        <v>Austria</v>
      </c>
      <c r="B26" s="2">
        <f>'2026'!F26</f>
        <v>0.66679999999999995</v>
      </c>
      <c r="C26" s="3">
        <f>'2026'!G26</f>
        <v>22</v>
      </c>
      <c r="D26" s="2">
        <f>'2026'!K26</f>
        <v>0.66679999999999995</v>
      </c>
      <c r="E26" s="3">
        <f>'2026'!L26</f>
        <v>22</v>
      </c>
      <c r="F26" s="2">
        <f>'2027'!F26</f>
        <v>0.66679999999999995</v>
      </c>
      <c r="G26" s="3">
        <f>'2027'!G26</f>
        <v>22</v>
      </c>
      <c r="H26" s="2">
        <f>'2027'!K26</f>
        <v>0.66679999999999995</v>
      </c>
      <c r="I26" s="3">
        <f>'2027'!L26</f>
        <v>22</v>
      </c>
      <c r="J26" s="2">
        <f>'2028'!F26</f>
        <v>0.66679999999999995</v>
      </c>
      <c r="K26" s="3">
        <f>'2028'!G26</f>
        <v>21</v>
      </c>
      <c r="L26" s="2">
        <f>'2028'!K26</f>
        <v>0.66679999999999995</v>
      </c>
      <c r="M26" s="3">
        <f>'2028'!L26</f>
        <v>21</v>
      </c>
      <c r="N26" s="2">
        <f>'2029'!F26</f>
        <v>0.66679999999999995</v>
      </c>
      <c r="O26" s="3">
        <f>'2029'!G26</f>
        <v>21</v>
      </c>
      <c r="P26" s="2">
        <f>'2029'!K26</f>
        <v>0.66679999999999995</v>
      </c>
      <c r="Q26" s="3">
        <f>'2029'!L26</f>
        <v>21</v>
      </c>
      <c r="R26" s="2">
        <f>'2030'!F26</f>
        <v>0.66679999999999995</v>
      </c>
      <c r="S26" s="3">
        <f>'2030'!G26</f>
        <v>21</v>
      </c>
      <c r="T26" s="2">
        <f>'2030'!K26</f>
        <v>0.66679999999999995</v>
      </c>
      <c r="U26" s="3">
        <f>'2030'!L26</f>
        <v>21</v>
      </c>
    </row>
    <row r="27" spans="1:21" x14ac:dyDescent="0.45">
      <c r="A27" t="str">
        <f>'2026'!A27</f>
        <v>Turkey</v>
      </c>
      <c r="B27" s="2">
        <f>'2026'!F27</f>
        <v>0.66049999999999998</v>
      </c>
      <c r="C27" s="3">
        <f>'2026'!G27</f>
        <v>23</v>
      </c>
      <c r="D27" s="2">
        <f>'2026'!K27</f>
        <v>0.66049999999999998</v>
      </c>
      <c r="E27" s="3">
        <f>'2026'!L27</f>
        <v>23</v>
      </c>
      <c r="F27" s="2">
        <f>'2027'!F27</f>
        <v>0.66049999999999998</v>
      </c>
      <c r="G27" s="3">
        <f>'2027'!G27</f>
        <v>23</v>
      </c>
      <c r="H27" s="2">
        <f>'2027'!K27</f>
        <v>0.66049999999999998</v>
      </c>
      <c r="I27" s="3">
        <f>'2027'!L27</f>
        <v>23</v>
      </c>
      <c r="J27" s="2">
        <f>'2028'!F27</f>
        <v>0.66049999999999998</v>
      </c>
      <c r="K27" s="3">
        <f>'2028'!G27</f>
        <v>22</v>
      </c>
      <c r="L27" s="2">
        <f>'2028'!K27</f>
        <v>0.66049999999999998</v>
      </c>
      <c r="M27" s="3">
        <f>'2028'!L27</f>
        <v>22</v>
      </c>
      <c r="N27" s="2">
        <f>'2029'!F27</f>
        <v>0.66049999999999998</v>
      </c>
      <c r="O27" s="3">
        <f>'2029'!G27</f>
        <v>22</v>
      </c>
      <c r="P27" s="2">
        <f>'2029'!K27</f>
        <v>0.66049999999999998</v>
      </c>
      <c r="Q27" s="3">
        <f>'2029'!L27</f>
        <v>22</v>
      </c>
      <c r="R27" s="2">
        <f>'2030'!F27</f>
        <v>0.66049999999999998</v>
      </c>
      <c r="S27" s="3">
        <f>'2030'!G27</f>
        <v>22</v>
      </c>
      <c r="T27" s="2">
        <f>'2030'!K27</f>
        <v>0.66049999999999998</v>
      </c>
      <c r="U27" s="3">
        <f>'2030'!L27</f>
        <v>22</v>
      </c>
    </row>
    <row r="28" spans="1:21" x14ac:dyDescent="0.45">
      <c r="A28" t="str">
        <f>'2026'!A28</f>
        <v>Slovenia</v>
      </c>
      <c r="B28" s="2">
        <f>'2026'!F28</f>
        <v>0.6532</v>
      </c>
      <c r="C28" s="3">
        <f>'2026'!G28</f>
        <v>24</v>
      </c>
      <c r="D28" s="2">
        <f>'2026'!K28</f>
        <v>0.6532</v>
      </c>
      <c r="E28" s="3">
        <f>'2026'!L28</f>
        <v>24</v>
      </c>
      <c r="F28" s="2">
        <f>'2027'!F28</f>
        <v>0.6532</v>
      </c>
      <c r="G28" s="3">
        <f>'2027'!G28</f>
        <v>24</v>
      </c>
      <c r="H28" s="2">
        <f>'2027'!K28</f>
        <v>0.6532</v>
      </c>
      <c r="I28" s="3">
        <f>'2027'!L28</f>
        <v>24</v>
      </c>
      <c r="J28" s="2">
        <f>'2028'!F28</f>
        <v>0.6532</v>
      </c>
      <c r="K28" s="3">
        <f>'2028'!G28</f>
        <v>23</v>
      </c>
      <c r="L28" s="2">
        <f>'2028'!K28</f>
        <v>0.6532</v>
      </c>
      <c r="M28" s="3">
        <f>'2028'!L28</f>
        <v>23</v>
      </c>
      <c r="N28" s="2">
        <f>'2029'!F28</f>
        <v>0.6532</v>
      </c>
      <c r="O28" s="3">
        <f>'2029'!G28</f>
        <v>23</v>
      </c>
      <c r="P28" s="2">
        <f>'2029'!K28</f>
        <v>0.6532</v>
      </c>
      <c r="Q28" s="3">
        <f>'2029'!L28</f>
        <v>23</v>
      </c>
      <c r="R28" s="2">
        <f>'2030'!F28</f>
        <v>0.6532</v>
      </c>
      <c r="S28" s="3">
        <f>'2030'!G28</f>
        <v>23</v>
      </c>
      <c r="T28" s="2">
        <f>'2030'!K28</f>
        <v>0.6532</v>
      </c>
      <c r="U28" s="3">
        <f>'2030'!L28</f>
        <v>23</v>
      </c>
    </row>
    <row r="29" spans="1:21" x14ac:dyDescent="0.45">
      <c r="A29" t="str">
        <f>'2026'!A29</f>
        <v>Australia</v>
      </c>
      <c r="B29" s="2">
        <f>'2026'!F29</f>
        <v>0.65300000000000002</v>
      </c>
      <c r="C29" s="3">
        <f>'2026'!G29</f>
        <v>25</v>
      </c>
      <c r="D29" s="2">
        <f>'2026'!K29</f>
        <v>0.65300000000000002</v>
      </c>
      <c r="E29" s="3">
        <f>'2026'!L29</f>
        <v>25</v>
      </c>
      <c r="F29" s="2">
        <f>'2027'!F29</f>
        <v>0.65300000000000002</v>
      </c>
      <c r="G29" s="3">
        <f>'2027'!G29</f>
        <v>25</v>
      </c>
      <c r="H29" s="2">
        <f>'2027'!K29</f>
        <v>0.65300000000000002</v>
      </c>
      <c r="I29" s="3">
        <f>'2027'!L29</f>
        <v>25</v>
      </c>
      <c r="J29" s="2">
        <f>'2028'!F29</f>
        <v>0.65300000000000002</v>
      </c>
      <c r="K29" s="3">
        <f>'2028'!G29</f>
        <v>24</v>
      </c>
      <c r="L29" s="2">
        <f>'2028'!K29</f>
        <v>0.65300000000000002</v>
      </c>
      <c r="M29" s="3">
        <f>'2028'!L29</f>
        <v>24</v>
      </c>
      <c r="N29" s="2">
        <f>'2029'!F29</f>
        <v>0.65300000000000002</v>
      </c>
      <c r="O29" s="3">
        <f>'2029'!G29</f>
        <v>24</v>
      </c>
      <c r="P29" s="2">
        <f>'2029'!K29</f>
        <v>0.65300000000000002</v>
      </c>
      <c r="Q29" s="3">
        <f>'2029'!L29</f>
        <v>24</v>
      </c>
      <c r="R29" s="2">
        <f>'2030'!F29</f>
        <v>0.65300000000000002</v>
      </c>
      <c r="S29" s="3">
        <f>'2030'!G29</f>
        <v>24</v>
      </c>
      <c r="T29" s="2">
        <f>'2030'!K29</f>
        <v>0.65300000000000002</v>
      </c>
      <c r="U29" s="3">
        <f>'2030'!L29</f>
        <v>24</v>
      </c>
    </row>
    <row r="30" spans="1:21" x14ac:dyDescent="0.45">
      <c r="A30" t="str">
        <f>'2026'!A30</f>
        <v>Denmark</v>
      </c>
      <c r="B30" s="2">
        <f>'2026'!F30</f>
        <v>0.64559999999999995</v>
      </c>
      <c r="C30" s="3">
        <f>'2026'!G30</f>
        <v>26</v>
      </c>
      <c r="D30" s="2">
        <f>'2026'!K30</f>
        <v>0.64559999999999995</v>
      </c>
      <c r="E30" s="3">
        <f>'2026'!L30</f>
        <v>26</v>
      </c>
      <c r="F30" s="2">
        <f>'2027'!F30</f>
        <v>0.64559999999999995</v>
      </c>
      <c r="G30" s="3">
        <f>'2027'!G30</f>
        <v>26</v>
      </c>
      <c r="H30" s="2">
        <f>'2027'!K30</f>
        <v>0.64559999999999995</v>
      </c>
      <c r="I30" s="3">
        <f>'2027'!L30</f>
        <v>26</v>
      </c>
      <c r="J30" s="2">
        <f>'2028'!F30</f>
        <v>0.64559999999999995</v>
      </c>
      <c r="K30" s="3">
        <f>'2028'!G30</f>
        <v>25</v>
      </c>
      <c r="L30" s="2">
        <f>'2028'!K30</f>
        <v>0.64559999999999995</v>
      </c>
      <c r="M30" s="3">
        <f>'2028'!L30</f>
        <v>25</v>
      </c>
      <c r="N30" s="2">
        <f>'2029'!F30</f>
        <v>0.64559999999999995</v>
      </c>
      <c r="O30" s="3">
        <f>'2029'!G30</f>
        <v>25</v>
      </c>
      <c r="P30" s="2">
        <f>'2029'!K30</f>
        <v>0.64559999999999995</v>
      </c>
      <c r="Q30" s="3">
        <f>'2029'!L30</f>
        <v>25</v>
      </c>
      <c r="R30" s="2">
        <f>'2030'!F30</f>
        <v>0.64559999999999995</v>
      </c>
      <c r="S30" s="3">
        <f>'2030'!G30</f>
        <v>25</v>
      </c>
      <c r="T30" s="2">
        <f>'2030'!K30</f>
        <v>0.64559999999999995</v>
      </c>
      <c r="U30" s="3">
        <f>'2030'!L30</f>
        <v>25</v>
      </c>
    </row>
    <row r="31" spans="1:21" x14ac:dyDescent="0.45">
      <c r="A31" t="str">
        <f>'2026'!A31</f>
        <v>Ireland</v>
      </c>
      <c r="B31" s="2">
        <f>'2026'!F31</f>
        <v>0.63939999999999997</v>
      </c>
      <c r="C31" s="3">
        <f>'2026'!G31</f>
        <v>27</v>
      </c>
      <c r="D31" s="2">
        <f>'2026'!K31</f>
        <v>0.63939999999999997</v>
      </c>
      <c r="E31" s="3">
        <f>'2026'!L31</f>
        <v>27</v>
      </c>
      <c r="F31" s="2">
        <f>'2027'!F31</f>
        <v>0.63939999999999997</v>
      </c>
      <c r="G31" s="3">
        <f>'2027'!G31</f>
        <v>27</v>
      </c>
      <c r="H31" s="2">
        <f>'2027'!K31</f>
        <v>0.63939999999999997</v>
      </c>
      <c r="I31" s="3">
        <f>'2027'!L31</f>
        <v>27</v>
      </c>
      <c r="J31" s="2">
        <f>'2028'!F31</f>
        <v>0.63939999999999997</v>
      </c>
      <c r="K31" s="3">
        <f>'2028'!G31</f>
        <v>26</v>
      </c>
      <c r="L31" s="2">
        <f>'2028'!K31</f>
        <v>0.63939999999999997</v>
      </c>
      <c r="M31" s="3">
        <f>'2028'!L31</f>
        <v>26</v>
      </c>
      <c r="N31" s="2">
        <f>'2029'!F31</f>
        <v>0.63939999999999997</v>
      </c>
      <c r="O31" s="3">
        <f>'2029'!G31</f>
        <v>26</v>
      </c>
      <c r="P31" s="2">
        <f>'2029'!K31</f>
        <v>0.63939999999999997</v>
      </c>
      <c r="Q31" s="3">
        <f>'2029'!L31</f>
        <v>26</v>
      </c>
      <c r="R31" s="2">
        <f>'2030'!F31</f>
        <v>0.63939999999999997</v>
      </c>
      <c r="S31" s="3">
        <f>'2030'!G31</f>
        <v>26</v>
      </c>
      <c r="T31" s="2">
        <f>'2030'!K31</f>
        <v>0.63939999999999997</v>
      </c>
      <c r="U31" s="3">
        <f>'2030'!L31</f>
        <v>26</v>
      </c>
    </row>
    <row r="32" spans="1:21" x14ac:dyDescent="0.45">
      <c r="A32" t="str">
        <f>'2026'!A32</f>
        <v>Greece</v>
      </c>
      <c r="B32" s="2">
        <f>'2026'!F32</f>
        <v>0.63139999999999996</v>
      </c>
      <c r="C32" s="3">
        <f>'2026'!G32</f>
        <v>28</v>
      </c>
      <c r="D32" s="2">
        <f>'2026'!K32</f>
        <v>0.63139999999999996</v>
      </c>
      <c r="E32" s="3">
        <f>'2026'!L32</f>
        <v>28</v>
      </c>
      <c r="F32" s="2">
        <f>'2027'!F32</f>
        <v>0.63139999999999996</v>
      </c>
      <c r="G32" s="3">
        <f>'2027'!G32</f>
        <v>28</v>
      </c>
      <c r="H32" s="2">
        <f>'2027'!K32</f>
        <v>0.63139999999999996</v>
      </c>
      <c r="I32" s="3">
        <f>'2027'!L32</f>
        <v>28</v>
      </c>
      <c r="J32" s="2">
        <f>'2028'!F32</f>
        <v>0.63139999999999996</v>
      </c>
      <c r="K32" s="3">
        <f>'2028'!G32</f>
        <v>27</v>
      </c>
      <c r="L32" s="2">
        <f>'2028'!K32</f>
        <v>0.63139999999999996</v>
      </c>
      <c r="M32" s="3">
        <f>'2028'!L32</f>
        <v>27</v>
      </c>
      <c r="N32" s="2">
        <f>'2029'!F32</f>
        <v>0.63139999999999996</v>
      </c>
      <c r="O32" s="3">
        <f>'2029'!G32</f>
        <v>27</v>
      </c>
      <c r="P32" s="2">
        <f>'2029'!K32</f>
        <v>0.63139999999999996</v>
      </c>
      <c r="Q32" s="3">
        <f>'2029'!L32</f>
        <v>27</v>
      </c>
      <c r="R32" s="2">
        <f>'2030'!F32</f>
        <v>0.63139999999999996</v>
      </c>
      <c r="S32" s="3">
        <f>'2030'!G32</f>
        <v>27</v>
      </c>
      <c r="T32" s="2">
        <f>'2030'!K32</f>
        <v>0.63139999999999996</v>
      </c>
      <c r="U32" s="3">
        <f>'2030'!L32</f>
        <v>27</v>
      </c>
    </row>
    <row r="33" spans="1:21" x14ac:dyDescent="0.45">
      <c r="A33" t="str">
        <f>'2026'!A33</f>
        <v>Netherlands</v>
      </c>
      <c r="B33" s="2">
        <f>'2026'!F33</f>
        <v>0.62629999999999997</v>
      </c>
      <c r="C33" s="3">
        <f>'2026'!G33</f>
        <v>29</v>
      </c>
      <c r="D33" s="2">
        <f>'2026'!K33</f>
        <v>0.62629999999999997</v>
      </c>
      <c r="E33" s="3">
        <f>'2026'!L33</f>
        <v>29</v>
      </c>
      <c r="F33" s="2">
        <f>'2027'!F33</f>
        <v>0.62629999999999997</v>
      </c>
      <c r="G33" s="3">
        <f>'2027'!G33</f>
        <v>29</v>
      </c>
      <c r="H33" s="2">
        <f>'2027'!K33</f>
        <v>0.62629999999999997</v>
      </c>
      <c r="I33" s="3">
        <f>'2027'!L33</f>
        <v>29</v>
      </c>
      <c r="J33" s="2">
        <f>'2028'!F33</f>
        <v>0.62629999999999997</v>
      </c>
      <c r="K33" s="3">
        <f>'2028'!G33</f>
        <v>28</v>
      </c>
      <c r="L33" s="2">
        <f>'2028'!K33</f>
        <v>0.62629999999999997</v>
      </c>
      <c r="M33" s="3">
        <f>'2028'!L33</f>
        <v>28</v>
      </c>
      <c r="N33" s="2">
        <f>'2029'!F33</f>
        <v>0.62629999999999997</v>
      </c>
      <c r="O33" s="3">
        <f>'2029'!G33</f>
        <v>28</v>
      </c>
      <c r="P33" s="2">
        <f>'2029'!K33</f>
        <v>0.62629999999999997</v>
      </c>
      <c r="Q33" s="3">
        <f>'2029'!L33</f>
        <v>28</v>
      </c>
      <c r="R33" s="2">
        <f>'2030'!F33</f>
        <v>0.62629999999999997</v>
      </c>
      <c r="S33" s="3">
        <f>'2030'!G33</f>
        <v>28</v>
      </c>
      <c r="T33" s="2">
        <f>'2030'!K33</f>
        <v>0.62629999999999997</v>
      </c>
      <c r="U33" s="3">
        <f>'2030'!L33</f>
        <v>28</v>
      </c>
    </row>
    <row r="34" spans="1:21" x14ac:dyDescent="0.45">
      <c r="A34" t="str">
        <f>'2026'!A34</f>
        <v>Spain</v>
      </c>
      <c r="B34" s="2">
        <f>'2026'!F34</f>
        <v>0.61309999999999998</v>
      </c>
      <c r="C34" s="3">
        <f>'2026'!G34</f>
        <v>30</v>
      </c>
      <c r="D34" s="2">
        <f>'2026'!K34</f>
        <v>0.61309999999999998</v>
      </c>
      <c r="E34" s="3">
        <f>'2026'!L34</f>
        <v>30</v>
      </c>
      <c r="F34" s="2">
        <f>'2027'!F34</f>
        <v>0.61309999999999998</v>
      </c>
      <c r="G34" s="3">
        <f>'2027'!G34</f>
        <v>30</v>
      </c>
      <c r="H34" s="2">
        <f>'2027'!K34</f>
        <v>0.61309999999999998</v>
      </c>
      <c r="I34" s="3">
        <f>'2027'!L34</f>
        <v>30</v>
      </c>
      <c r="J34" s="2">
        <f>'2028'!F34</f>
        <v>0.61309999999999998</v>
      </c>
      <c r="K34" s="3">
        <f>'2028'!G34</f>
        <v>30</v>
      </c>
      <c r="L34" s="2">
        <f>'2028'!K34</f>
        <v>0.61309999999999998</v>
      </c>
      <c r="M34" s="3">
        <f>'2028'!L34</f>
        <v>30</v>
      </c>
      <c r="N34" s="2">
        <f>'2029'!F34</f>
        <v>0.61309999999999998</v>
      </c>
      <c r="O34" s="3">
        <f>'2029'!G34</f>
        <v>30</v>
      </c>
      <c r="P34" s="2">
        <f>'2029'!K34</f>
        <v>0.61309999999999998</v>
      </c>
      <c r="Q34" s="3">
        <f>'2029'!L34</f>
        <v>30</v>
      </c>
      <c r="R34" s="2">
        <f>'2030'!F34</f>
        <v>0.61309999999999998</v>
      </c>
      <c r="S34" s="3">
        <f>'2030'!G34</f>
        <v>30</v>
      </c>
      <c r="T34" s="2">
        <f>'2030'!K34</f>
        <v>0.61309999999999998</v>
      </c>
      <c r="U34" s="3">
        <f>'2030'!L34</f>
        <v>30</v>
      </c>
    </row>
    <row r="35" spans="1:21" x14ac:dyDescent="0.45">
      <c r="A35" t="str">
        <f>'2026'!A35</f>
        <v>Japan</v>
      </c>
      <c r="B35" s="2">
        <f>'2026'!F35</f>
        <v>0.60950000000000004</v>
      </c>
      <c r="C35" s="3">
        <f>'2026'!G35</f>
        <v>31</v>
      </c>
      <c r="D35" s="2">
        <f>'2026'!K35</f>
        <v>0.60950000000000004</v>
      </c>
      <c r="E35" s="3">
        <f>'2026'!L35</f>
        <v>31</v>
      </c>
      <c r="F35" s="2">
        <f>'2027'!F35</f>
        <v>0.60950000000000004</v>
      </c>
      <c r="G35" s="3">
        <f>'2027'!G35</f>
        <v>31</v>
      </c>
      <c r="H35" s="2">
        <f>'2027'!K35</f>
        <v>0.60950000000000004</v>
      </c>
      <c r="I35" s="3">
        <f>'2027'!L35</f>
        <v>31</v>
      </c>
      <c r="J35" s="2">
        <f>'2028'!F35</f>
        <v>0.60950000000000004</v>
      </c>
      <c r="K35" s="3">
        <f>'2028'!G35</f>
        <v>31</v>
      </c>
      <c r="L35" s="2">
        <f>'2028'!K35</f>
        <v>0.60950000000000004</v>
      </c>
      <c r="M35" s="3">
        <f>'2028'!L35</f>
        <v>31</v>
      </c>
      <c r="N35" s="2">
        <f>'2029'!F35</f>
        <v>0.60950000000000004</v>
      </c>
      <c r="O35" s="3">
        <f>'2029'!G35</f>
        <v>31</v>
      </c>
      <c r="P35" s="2">
        <f>'2029'!K35</f>
        <v>0.60950000000000004</v>
      </c>
      <c r="Q35" s="3">
        <f>'2029'!L35</f>
        <v>31</v>
      </c>
      <c r="R35" s="2">
        <f>'2030'!F35</f>
        <v>0.60950000000000004</v>
      </c>
      <c r="S35" s="3">
        <f>'2030'!G35</f>
        <v>31</v>
      </c>
      <c r="T35" s="2">
        <f>'2030'!K35</f>
        <v>0.60950000000000004</v>
      </c>
      <c r="U35" s="3">
        <f>'2030'!L35</f>
        <v>31</v>
      </c>
    </row>
    <row r="36" spans="1:21" x14ac:dyDescent="0.45">
      <c r="A36" t="str">
        <f>'2026'!A36</f>
        <v>Norway</v>
      </c>
      <c r="B36" s="2">
        <f>'2026'!F36</f>
        <v>0.60729999999999995</v>
      </c>
      <c r="C36" s="3">
        <f>'2026'!G36</f>
        <v>32</v>
      </c>
      <c r="D36" s="2">
        <f>'2026'!K36</f>
        <v>0.60729999999999995</v>
      </c>
      <c r="E36" s="3">
        <f>'2026'!L36</f>
        <v>32</v>
      </c>
      <c r="F36" s="2">
        <f>'2027'!F36</f>
        <v>0.60729999999999995</v>
      </c>
      <c r="G36" s="3">
        <f>'2027'!G36</f>
        <v>32</v>
      </c>
      <c r="H36" s="2">
        <f>'2027'!K36</f>
        <v>0.60729999999999995</v>
      </c>
      <c r="I36" s="3">
        <f>'2027'!L36</f>
        <v>32</v>
      </c>
      <c r="J36" s="2">
        <f>'2028'!F36</f>
        <v>0.60729999999999995</v>
      </c>
      <c r="K36" s="3">
        <f>'2028'!G36</f>
        <v>32</v>
      </c>
      <c r="L36" s="2">
        <f>'2028'!K36</f>
        <v>0.60729999999999995</v>
      </c>
      <c r="M36" s="3">
        <f>'2028'!L36</f>
        <v>32</v>
      </c>
      <c r="N36" s="2">
        <f>'2029'!F36</f>
        <v>0.60729999999999995</v>
      </c>
      <c r="O36" s="3">
        <f>'2029'!G36</f>
        <v>32</v>
      </c>
      <c r="P36" s="2">
        <f>'2029'!K36</f>
        <v>0.60729999999999995</v>
      </c>
      <c r="Q36" s="3">
        <f>'2029'!L36</f>
        <v>32</v>
      </c>
      <c r="R36" s="2">
        <f>'2030'!F36</f>
        <v>0.60729999999999995</v>
      </c>
      <c r="S36" s="3">
        <f>'2030'!G36</f>
        <v>32</v>
      </c>
      <c r="T36" s="2">
        <f>'2030'!K36</f>
        <v>0.60729999999999995</v>
      </c>
      <c r="U36" s="3">
        <f>'2030'!L36</f>
        <v>32</v>
      </c>
    </row>
    <row r="37" spans="1:21" x14ac:dyDescent="0.45">
      <c r="A37" t="str">
        <f>'2026'!A37</f>
        <v>Poland</v>
      </c>
      <c r="B37" s="2">
        <f>'2026'!F37</f>
        <v>0.59319999999999995</v>
      </c>
      <c r="C37" s="3">
        <f>'2026'!G37</f>
        <v>33</v>
      </c>
      <c r="D37" s="2">
        <f>'2026'!K37</f>
        <v>0.59319999999999995</v>
      </c>
      <c r="E37" s="3">
        <f>'2026'!L37</f>
        <v>33</v>
      </c>
      <c r="F37" s="2">
        <f>'2027'!F37</f>
        <v>0.59319999999999995</v>
      </c>
      <c r="G37" s="3">
        <f>'2027'!G37</f>
        <v>33</v>
      </c>
      <c r="H37" s="2">
        <f>'2027'!K37</f>
        <v>0.59319999999999995</v>
      </c>
      <c r="I37" s="3">
        <f>'2027'!L37</f>
        <v>33</v>
      </c>
      <c r="J37" s="2">
        <f>'2028'!F37</f>
        <v>0.59319999999999995</v>
      </c>
      <c r="K37" s="3">
        <f>'2028'!G37</f>
        <v>33</v>
      </c>
      <c r="L37" s="2">
        <f>'2028'!K37</f>
        <v>0.59319999999999995</v>
      </c>
      <c r="M37" s="3">
        <f>'2028'!L37</f>
        <v>33</v>
      </c>
      <c r="N37" s="2">
        <f>'2029'!F37</f>
        <v>0.59319999999999995</v>
      </c>
      <c r="O37" s="3">
        <f>'2029'!G37</f>
        <v>33</v>
      </c>
      <c r="P37" s="2">
        <f>'2029'!K37</f>
        <v>0.59319999999999995</v>
      </c>
      <c r="Q37" s="3">
        <f>'2029'!L37</f>
        <v>33</v>
      </c>
      <c r="R37" s="2">
        <f>'2030'!F37</f>
        <v>0.59319999999999995</v>
      </c>
      <c r="S37" s="3">
        <f>'2030'!G37</f>
        <v>33</v>
      </c>
      <c r="T37" s="2">
        <f>'2030'!K37</f>
        <v>0.59319999999999995</v>
      </c>
      <c r="U37" s="3">
        <f>'2030'!L37</f>
        <v>33</v>
      </c>
    </row>
    <row r="38" spans="1:21" x14ac:dyDescent="0.45">
      <c r="A38" t="str">
        <f>'2026'!A38</f>
        <v>Costa Rica</v>
      </c>
      <c r="B38" s="2">
        <f>'2026'!F38</f>
        <v>0.58609999999999995</v>
      </c>
      <c r="C38" s="3">
        <f>'2026'!G38</f>
        <v>34</v>
      </c>
      <c r="D38" s="2">
        <f>'2026'!K38</f>
        <v>0.58609999999999995</v>
      </c>
      <c r="E38" s="3">
        <f>'2026'!L38</f>
        <v>34</v>
      </c>
      <c r="F38" s="2">
        <f>'2027'!F38</f>
        <v>0.58609999999999995</v>
      </c>
      <c r="G38" s="3">
        <f>'2027'!G38</f>
        <v>34</v>
      </c>
      <c r="H38" s="2">
        <f>'2027'!K38</f>
        <v>0.58609999999999995</v>
      </c>
      <c r="I38" s="3">
        <f>'2027'!L38</f>
        <v>34</v>
      </c>
      <c r="J38" s="2">
        <f>'2028'!F38</f>
        <v>0.58609999999999995</v>
      </c>
      <c r="K38" s="3">
        <f>'2028'!G38</f>
        <v>34</v>
      </c>
      <c r="L38" s="2">
        <f>'2028'!K38</f>
        <v>0.58609999999999995</v>
      </c>
      <c r="M38" s="3">
        <f>'2028'!L38</f>
        <v>34</v>
      </c>
      <c r="N38" s="2">
        <f>'2029'!F38</f>
        <v>0.58609999999999995</v>
      </c>
      <c r="O38" s="3">
        <f>'2029'!G38</f>
        <v>34</v>
      </c>
      <c r="P38" s="2">
        <f>'2029'!K38</f>
        <v>0.58609999999999995</v>
      </c>
      <c r="Q38" s="3">
        <f>'2029'!L38</f>
        <v>34</v>
      </c>
      <c r="R38" s="2">
        <f>'2030'!F38</f>
        <v>0.58609999999999995</v>
      </c>
      <c r="S38" s="3">
        <f>'2030'!G38</f>
        <v>34</v>
      </c>
      <c r="T38" s="2">
        <f>'2030'!K38</f>
        <v>0.58609999999999995</v>
      </c>
      <c r="U38" s="3">
        <f>'2030'!L38</f>
        <v>34</v>
      </c>
    </row>
    <row r="39" spans="1:21" x14ac:dyDescent="0.45">
      <c r="A39" t="str">
        <f>'2026'!A39</f>
        <v>Hungary</v>
      </c>
      <c r="B39" s="2">
        <f>'2026'!F39</f>
        <v>0.58340000000000003</v>
      </c>
      <c r="C39" s="3">
        <f>'2026'!G39</f>
        <v>35</v>
      </c>
      <c r="D39" s="2">
        <f>'2026'!K39</f>
        <v>0.58340000000000003</v>
      </c>
      <c r="E39" s="3">
        <f>'2026'!L39</f>
        <v>35</v>
      </c>
      <c r="F39" s="2">
        <f>'2027'!F39</f>
        <v>0.58340000000000003</v>
      </c>
      <c r="G39" s="3">
        <f>'2027'!G39</f>
        <v>35</v>
      </c>
      <c r="H39" s="2">
        <f>'2027'!K39</f>
        <v>0.58340000000000003</v>
      </c>
      <c r="I39" s="3">
        <f>'2027'!L39</f>
        <v>35</v>
      </c>
      <c r="J39" s="2">
        <f>'2028'!F39</f>
        <v>0.58340000000000003</v>
      </c>
      <c r="K39" s="3">
        <f>'2028'!G39</f>
        <v>35</v>
      </c>
      <c r="L39" s="2">
        <f>'2028'!K39</f>
        <v>0.58340000000000003</v>
      </c>
      <c r="M39" s="3">
        <f>'2028'!L39</f>
        <v>35</v>
      </c>
      <c r="N39" s="2">
        <f>'2029'!F39</f>
        <v>0.58340000000000003</v>
      </c>
      <c r="O39" s="3">
        <f>'2029'!G39</f>
        <v>35</v>
      </c>
      <c r="P39" s="2">
        <f>'2029'!K39</f>
        <v>0.58340000000000003</v>
      </c>
      <c r="Q39" s="3">
        <f>'2029'!L39</f>
        <v>35</v>
      </c>
      <c r="R39" s="2">
        <f>'2030'!F39</f>
        <v>0.58340000000000003</v>
      </c>
      <c r="S39" s="3">
        <f>'2030'!G39</f>
        <v>35</v>
      </c>
      <c r="T39" s="2">
        <f>'2030'!K39</f>
        <v>0.58340000000000003</v>
      </c>
      <c r="U39" s="3">
        <f>'2030'!L39</f>
        <v>35</v>
      </c>
    </row>
    <row r="40" spans="1:21" x14ac:dyDescent="0.45">
      <c r="A40" t="str">
        <f>'2026'!A40</f>
        <v>Colombia</v>
      </c>
      <c r="B40" s="2">
        <f>'2026'!F40</f>
        <v>0.57979999999999998</v>
      </c>
      <c r="C40" s="3">
        <f>'2026'!G40</f>
        <v>36</v>
      </c>
      <c r="D40" s="2">
        <f>'2026'!K40</f>
        <v>0.57979999999999998</v>
      </c>
      <c r="E40" s="3">
        <f>'2026'!L40</f>
        <v>36</v>
      </c>
      <c r="F40" s="2">
        <f>'2027'!F40</f>
        <v>0.57979999999999998</v>
      </c>
      <c r="G40" s="3">
        <f>'2027'!G40</f>
        <v>36</v>
      </c>
      <c r="H40" s="2">
        <f>'2027'!K40</f>
        <v>0.57979999999999998</v>
      </c>
      <c r="I40" s="3">
        <f>'2027'!L40</f>
        <v>36</v>
      </c>
      <c r="J40" s="2">
        <f>'2028'!F40</f>
        <v>0.57979999999999998</v>
      </c>
      <c r="K40" s="3">
        <f>'2028'!G40</f>
        <v>36</v>
      </c>
      <c r="L40" s="2">
        <f>'2028'!K40</f>
        <v>0.57979999999999998</v>
      </c>
      <c r="M40" s="3">
        <f>'2028'!L40</f>
        <v>36</v>
      </c>
      <c r="N40" s="2">
        <f>'2029'!F40</f>
        <v>0.57979999999999998</v>
      </c>
      <c r="O40" s="3">
        <f>'2029'!G40</f>
        <v>36</v>
      </c>
      <c r="P40" s="2">
        <f>'2029'!K40</f>
        <v>0.57979999999999998</v>
      </c>
      <c r="Q40" s="3">
        <f>'2029'!L40</f>
        <v>36</v>
      </c>
      <c r="R40" s="2">
        <f>'2030'!F40</f>
        <v>0.57979999999999998</v>
      </c>
      <c r="S40" s="3">
        <f>'2030'!G40</f>
        <v>36</v>
      </c>
      <c r="T40" s="2">
        <f>'2030'!K40</f>
        <v>0.57979999999999998</v>
      </c>
      <c r="U40" s="3">
        <f>'2030'!L40</f>
        <v>36</v>
      </c>
    </row>
    <row r="41" spans="1:21" x14ac:dyDescent="0.45">
      <c r="A41" t="str">
        <f>'2026'!A41</f>
        <v>New Zealand</v>
      </c>
      <c r="B41" s="2">
        <f>'2026'!F41</f>
        <v>0.49109999999999998</v>
      </c>
      <c r="C41" s="3">
        <f>'2026'!G41</f>
        <v>37</v>
      </c>
      <c r="D41" s="2">
        <f>'2026'!K41</f>
        <v>0.49109999999999998</v>
      </c>
      <c r="E41" s="3">
        <f>'2026'!L41</f>
        <v>37</v>
      </c>
      <c r="F41" s="2">
        <f>'2027'!F41</f>
        <v>0.49109999999999998</v>
      </c>
      <c r="G41" s="3">
        <f>'2027'!G41</f>
        <v>37</v>
      </c>
      <c r="H41" s="2">
        <f>'2027'!K41</f>
        <v>0.49109999999999998</v>
      </c>
      <c r="I41" s="3">
        <f>'2027'!L41</f>
        <v>37</v>
      </c>
      <c r="J41" s="2">
        <f>'2028'!F41</f>
        <v>0.49109999999999998</v>
      </c>
      <c r="K41" s="3">
        <f>'2028'!G41</f>
        <v>37</v>
      </c>
      <c r="L41" s="2">
        <f>'2028'!K41</f>
        <v>0.49109999999999998</v>
      </c>
      <c r="M41" s="3">
        <f>'2028'!L41</f>
        <v>37</v>
      </c>
      <c r="N41" s="2">
        <f>'2029'!F41</f>
        <v>0.49109999999999998</v>
      </c>
      <c r="O41" s="3">
        <f>'2029'!G41</f>
        <v>37</v>
      </c>
      <c r="P41" s="2">
        <f>'2029'!K41</f>
        <v>0.49109999999999998</v>
      </c>
      <c r="Q41" s="3">
        <f>'2029'!L41</f>
        <v>37</v>
      </c>
      <c r="R41" s="2">
        <f>'2030'!F41</f>
        <v>0.49109999999999998</v>
      </c>
      <c r="S41" s="3">
        <f>'2030'!G41</f>
        <v>37</v>
      </c>
      <c r="T41" s="2">
        <f>'2030'!K41</f>
        <v>0.49109999999999998</v>
      </c>
      <c r="U41" s="3">
        <f>'2030'!L41</f>
        <v>37</v>
      </c>
    </row>
    <row r="42" spans="1:21" x14ac:dyDescent="0.45">
      <c r="A42" t="str">
        <f>'2026'!A42</f>
        <v>Chile</v>
      </c>
      <c r="B42" s="2">
        <f>'2026'!F42</f>
        <v>0.48420000000000002</v>
      </c>
      <c r="C42" s="3">
        <f>'2026'!G42</f>
        <v>38</v>
      </c>
      <c r="D42" s="2">
        <f>'2026'!K42</f>
        <v>0.48420000000000002</v>
      </c>
      <c r="E42" s="3">
        <f>'2026'!L42</f>
        <v>38</v>
      </c>
      <c r="F42" s="2">
        <f>'2027'!F42</f>
        <v>0.48420000000000002</v>
      </c>
      <c r="G42" s="3">
        <f>'2027'!G42</f>
        <v>38</v>
      </c>
      <c r="H42" s="2">
        <f>'2027'!K42</f>
        <v>0.48420000000000002</v>
      </c>
      <c r="I42" s="3">
        <f>'2027'!L42</f>
        <v>38</v>
      </c>
      <c r="J42" s="2">
        <f>'2028'!F42</f>
        <v>0.48420000000000002</v>
      </c>
      <c r="K42" s="3">
        <f>'2028'!G42</f>
        <v>38</v>
      </c>
      <c r="L42" s="2">
        <f>'2028'!K42</f>
        <v>0.48420000000000002</v>
      </c>
      <c r="M42" s="3">
        <f>'2028'!L42</f>
        <v>38</v>
      </c>
      <c r="N42" s="2">
        <f>'2029'!F42</f>
        <v>0.48420000000000002</v>
      </c>
      <c r="O42" s="3">
        <f>'2029'!G42</f>
        <v>38</v>
      </c>
      <c r="P42" s="2">
        <f>'2029'!K42</f>
        <v>0.48420000000000002</v>
      </c>
      <c r="Q42" s="3">
        <f>'2029'!L42</f>
        <v>38</v>
      </c>
      <c r="R42" s="2">
        <f>'2030'!F42</f>
        <v>0.48420000000000002</v>
      </c>
      <c r="S42" s="3">
        <f>'2030'!G42</f>
        <v>38</v>
      </c>
      <c r="T42" s="2">
        <f>'2030'!K42</f>
        <v>0.48420000000000002</v>
      </c>
      <c r="U42" s="3">
        <f>'2030'!L42</f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35593-B66E-4E20-B322-D61027157628}">
  <dimension ref="A1:B13"/>
  <sheetViews>
    <sheetView tabSelected="1" workbookViewId="0"/>
  </sheetViews>
  <sheetFormatPr defaultRowHeight="14.25" x14ac:dyDescent="0.45"/>
  <cols>
    <col min="1" max="1" width="60.59765625" customWidth="1"/>
  </cols>
  <sheetData>
    <row r="1" spans="1:2" x14ac:dyDescent="0.45">
      <c r="A1" s="1" t="s">
        <v>0</v>
      </c>
    </row>
    <row r="3" spans="1:2" x14ac:dyDescent="0.45">
      <c r="A3" t="s">
        <v>1</v>
      </c>
    </row>
    <row r="4" spans="1:2" x14ac:dyDescent="0.45">
      <c r="A4" t="s">
        <v>2</v>
      </c>
      <c r="B4">
        <f>0.4391081</f>
        <v>0.4391081</v>
      </c>
    </row>
    <row r="5" spans="1:2" x14ac:dyDescent="0.45">
      <c r="A5" t="s">
        <v>3</v>
      </c>
      <c r="B5">
        <f>0.4116638</f>
        <v>0.41166380000000002</v>
      </c>
    </row>
    <row r="6" spans="1:2" x14ac:dyDescent="0.45">
      <c r="A6" t="s">
        <v>4</v>
      </c>
      <c r="B6">
        <f>0.1492281</f>
        <v>0.1492281</v>
      </c>
    </row>
    <row r="8" spans="1:2" x14ac:dyDescent="0.45">
      <c r="A8" t="s">
        <v>5</v>
      </c>
    </row>
    <row r="9" spans="1:2" x14ac:dyDescent="0.45">
      <c r="A9" t="s">
        <v>6</v>
      </c>
    </row>
    <row r="10" spans="1:2" x14ac:dyDescent="0.45">
      <c r="A10" t="s">
        <v>7</v>
      </c>
    </row>
    <row r="11" spans="1:2" x14ac:dyDescent="0.45">
      <c r="A11" t="s">
        <v>8</v>
      </c>
    </row>
    <row r="12" spans="1:2" x14ac:dyDescent="0.45">
      <c r="A12" t="s">
        <v>9</v>
      </c>
    </row>
    <row r="13" spans="1:2" x14ac:dyDescent="0.45">
      <c r="A1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Canada summary</vt:lpstr>
      <vt:lpstr>2026</vt:lpstr>
      <vt:lpstr>2027</vt:lpstr>
      <vt:lpstr>2028</vt:lpstr>
      <vt:lpstr>2029</vt:lpstr>
      <vt:lpstr>2030</vt:lpstr>
      <vt:lpstr>Consolidated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Mengden</dc:creator>
  <cp:lastModifiedBy>Alexander Mengden</cp:lastModifiedBy>
  <dcterms:created xsi:type="dcterms:W3CDTF">2026-09-14T15:34:15Z</dcterms:created>
  <dcterms:modified xsi:type="dcterms:W3CDTF">2026-09-14T15:34:40Z</dcterms:modified>
</cp:coreProperties>
</file>